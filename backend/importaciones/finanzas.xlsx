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omments3.xml" ContentType="application/vnd.openxmlformats-officedocument.spreadsheetml.comment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i\Documents\REACTSANISIDRO\san-isidro\backend\importaciones\"/>
    </mc:Choice>
  </mc:AlternateContent>
  <xr:revisionPtr revIDLastSave="0" documentId="13_ncr:1_{278A5BC5-D6EE-44E7-9387-D66B511EB79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ontable" sheetId="1" r:id="rId1"/>
    <sheet name="Proyeccion" sheetId="2" r:id="rId2"/>
    <sheet name="San Isidro" sheetId="3" r:id="rId3"/>
    <sheet name="Liquidacion Sueldos" sheetId="4" r:id="rId4"/>
    <sheet name="Produccion" sheetId="5" r:id="rId5"/>
    <sheet name="Finanzas" sheetId="6" r:id="rId6"/>
  </sheets>
  <definedNames>
    <definedName name="_xlnm._FilterDatabase" localSheetId="0" hidden="1">Contable!$A$1:$I$534</definedName>
    <definedName name="_xlnm._FilterDatabase" localSheetId="5" hidden="1">Finanzas!$A$2:$H$283</definedName>
    <definedName name="_xlnm._FilterDatabase" localSheetId="4" hidden="1">Produccion!$A$1:$I$70</definedName>
    <definedName name="_xlnm._FilterDatabase" localSheetId="2" hidden="1">'San Isidro'!$A$2:$E$47</definedName>
  </definedNames>
  <calcPr calcId="191029"/>
</workbook>
</file>

<file path=xl/calcChain.xml><?xml version="1.0" encoding="utf-8"?>
<calcChain xmlns="http://schemas.openxmlformats.org/spreadsheetml/2006/main">
  <c r="E283" i="6" l="1"/>
  <c r="B283" i="6"/>
  <c r="G282" i="6"/>
  <c r="H282" i="6" s="1"/>
  <c r="F282" i="6"/>
  <c r="H281" i="6"/>
  <c r="G281" i="6"/>
  <c r="F281" i="6"/>
  <c r="G280" i="6"/>
  <c r="H280" i="6" s="1"/>
  <c r="F280" i="6"/>
  <c r="G279" i="6"/>
  <c r="H279" i="6" s="1"/>
  <c r="F279" i="6"/>
  <c r="G278" i="6"/>
  <c r="H278" i="6" s="1"/>
  <c r="F278" i="6"/>
  <c r="H277" i="6"/>
  <c r="G277" i="6"/>
  <c r="F277" i="6"/>
  <c r="H276" i="6"/>
  <c r="G276" i="6"/>
  <c r="F276" i="6"/>
  <c r="H275" i="6"/>
  <c r="G275" i="6"/>
  <c r="F275" i="6"/>
  <c r="H274" i="6"/>
  <c r="G274" i="6"/>
  <c r="F274" i="6"/>
  <c r="H273" i="6"/>
  <c r="G273" i="6"/>
  <c r="F273" i="6"/>
  <c r="G272" i="6"/>
  <c r="H272" i="6" s="1"/>
  <c r="F272" i="6"/>
  <c r="G271" i="6"/>
  <c r="H271" i="6" s="1"/>
  <c r="F271" i="6"/>
  <c r="G270" i="6"/>
  <c r="H270" i="6" s="1"/>
  <c r="F270" i="6"/>
  <c r="H269" i="6"/>
  <c r="G269" i="6"/>
  <c r="F269" i="6"/>
  <c r="H268" i="6"/>
  <c r="G268" i="6"/>
  <c r="F268" i="6"/>
  <c r="H267" i="6"/>
  <c r="G267" i="6"/>
  <c r="F267" i="6"/>
  <c r="G266" i="6"/>
  <c r="H266" i="6" s="1"/>
  <c r="F266" i="6"/>
  <c r="H265" i="6"/>
  <c r="G265" i="6"/>
  <c r="F265" i="6"/>
  <c r="G264" i="6"/>
  <c r="H264" i="6" s="1"/>
  <c r="F264" i="6"/>
  <c r="G263" i="6"/>
  <c r="H263" i="6" s="1"/>
  <c r="F263" i="6"/>
  <c r="G262" i="6"/>
  <c r="H262" i="6" s="1"/>
  <c r="F262" i="6"/>
  <c r="H261" i="6"/>
  <c r="G261" i="6"/>
  <c r="F261" i="6"/>
  <c r="H260" i="6"/>
  <c r="G260" i="6"/>
  <c r="F260" i="6"/>
  <c r="H259" i="6"/>
  <c r="G259" i="6"/>
  <c r="F259" i="6"/>
  <c r="G258" i="6"/>
  <c r="H258" i="6" s="1"/>
  <c r="F258" i="6"/>
  <c r="H257" i="6"/>
  <c r="G257" i="6"/>
  <c r="F257" i="6"/>
  <c r="G256" i="6"/>
  <c r="H256" i="6" s="1"/>
  <c r="F256" i="6"/>
  <c r="G255" i="6"/>
  <c r="H255" i="6" s="1"/>
  <c r="F255" i="6"/>
  <c r="G254" i="6"/>
  <c r="H254" i="6" s="1"/>
  <c r="F254" i="6"/>
  <c r="H253" i="6"/>
  <c r="G253" i="6"/>
  <c r="F253" i="6"/>
  <c r="H252" i="6"/>
  <c r="G252" i="6"/>
  <c r="F252" i="6"/>
  <c r="H251" i="6"/>
  <c r="G251" i="6"/>
  <c r="F251" i="6"/>
  <c r="G250" i="6"/>
  <c r="H250" i="6" s="1"/>
  <c r="F250" i="6"/>
  <c r="H249" i="6"/>
  <c r="G249" i="6"/>
  <c r="F249" i="6"/>
  <c r="G248" i="6"/>
  <c r="H248" i="6" s="1"/>
  <c r="F248" i="6"/>
  <c r="G247" i="6"/>
  <c r="H247" i="6" s="1"/>
  <c r="F247" i="6"/>
  <c r="G246" i="6"/>
  <c r="H246" i="6" s="1"/>
  <c r="F246" i="6"/>
  <c r="H245" i="6"/>
  <c r="G245" i="6"/>
  <c r="F245" i="6"/>
  <c r="H244" i="6"/>
  <c r="G244" i="6"/>
  <c r="F244" i="6"/>
  <c r="H243" i="6"/>
  <c r="G243" i="6"/>
  <c r="F243" i="6"/>
  <c r="G242" i="6"/>
  <c r="H242" i="6" s="1"/>
  <c r="F242" i="6"/>
  <c r="H241" i="6"/>
  <c r="G241" i="6"/>
  <c r="F241" i="6"/>
  <c r="G240" i="6"/>
  <c r="H240" i="6" s="1"/>
  <c r="F240" i="6"/>
  <c r="G239" i="6"/>
  <c r="H239" i="6" s="1"/>
  <c r="F239" i="6"/>
  <c r="G238" i="6"/>
  <c r="H238" i="6" s="1"/>
  <c r="F238" i="6"/>
  <c r="H237" i="6"/>
  <c r="G237" i="6"/>
  <c r="F237" i="6"/>
  <c r="H236" i="6"/>
  <c r="G236" i="6"/>
  <c r="F236" i="6"/>
  <c r="H235" i="6"/>
  <c r="G235" i="6"/>
  <c r="F235" i="6"/>
  <c r="G234" i="6"/>
  <c r="H234" i="6" s="1"/>
  <c r="F234" i="6"/>
  <c r="H233" i="6"/>
  <c r="G233" i="6"/>
  <c r="F233" i="6"/>
  <c r="G232" i="6"/>
  <c r="H232" i="6" s="1"/>
  <c r="F232" i="6"/>
  <c r="G231" i="6"/>
  <c r="H231" i="6" s="1"/>
  <c r="F231" i="6"/>
  <c r="G230" i="6"/>
  <c r="H230" i="6" s="1"/>
  <c r="F230" i="6"/>
  <c r="H229" i="6"/>
  <c r="G229" i="6"/>
  <c r="F229" i="6"/>
  <c r="H228" i="6"/>
  <c r="G228" i="6"/>
  <c r="F228" i="6"/>
  <c r="H227" i="6"/>
  <c r="G227" i="6"/>
  <c r="F227" i="6"/>
  <c r="G226" i="6"/>
  <c r="H226" i="6" s="1"/>
  <c r="F226" i="6"/>
  <c r="H225" i="6"/>
  <c r="G225" i="6"/>
  <c r="F225" i="6"/>
  <c r="G224" i="6"/>
  <c r="H224" i="6" s="1"/>
  <c r="F224" i="6"/>
  <c r="G223" i="6"/>
  <c r="H223" i="6" s="1"/>
  <c r="F223" i="6"/>
  <c r="G222" i="6"/>
  <c r="H222" i="6" s="1"/>
  <c r="F222" i="6"/>
  <c r="H221" i="6"/>
  <c r="G221" i="6"/>
  <c r="F221" i="6"/>
  <c r="H220" i="6"/>
  <c r="G220" i="6"/>
  <c r="F220" i="6"/>
  <c r="H219" i="6"/>
  <c r="G219" i="6"/>
  <c r="F219" i="6"/>
  <c r="G218" i="6"/>
  <c r="H218" i="6" s="1"/>
  <c r="F218" i="6"/>
  <c r="H217" i="6"/>
  <c r="G217" i="6"/>
  <c r="F217" i="6"/>
  <c r="G216" i="6"/>
  <c r="H216" i="6" s="1"/>
  <c r="F216" i="6"/>
  <c r="G215" i="6"/>
  <c r="H215" i="6" s="1"/>
  <c r="F215" i="6"/>
  <c r="G214" i="6"/>
  <c r="H214" i="6" s="1"/>
  <c r="F214" i="6"/>
  <c r="H213" i="6"/>
  <c r="G213" i="6"/>
  <c r="F213" i="6"/>
  <c r="H212" i="6"/>
  <c r="G212" i="6"/>
  <c r="F212" i="6"/>
  <c r="H211" i="6"/>
  <c r="G211" i="6"/>
  <c r="F211" i="6"/>
  <c r="G210" i="6"/>
  <c r="H210" i="6" s="1"/>
  <c r="F210" i="6"/>
  <c r="H209" i="6"/>
  <c r="G209" i="6"/>
  <c r="F209" i="6"/>
  <c r="G208" i="6"/>
  <c r="H208" i="6" s="1"/>
  <c r="F208" i="6"/>
  <c r="H207" i="6"/>
  <c r="G207" i="6"/>
  <c r="F207" i="6"/>
  <c r="G206" i="6"/>
  <c r="H206" i="6" s="1"/>
  <c r="F206" i="6"/>
  <c r="H205" i="6"/>
  <c r="G205" i="6"/>
  <c r="F205" i="6"/>
  <c r="H204" i="6"/>
  <c r="G204" i="6"/>
  <c r="F204" i="6"/>
  <c r="H203" i="6"/>
  <c r="G203" i="6"/>
  <c r="F203" i="6"/>
  <c r="G202" i="6"/>
  <c r="H202" i="6" s="1"/>
  <c r="F202" i="6"/>
  <c r="H201" i="6"/>
  <c r="G201" i="6"/>
  <c r="F201" i="6"/>
  <c r="G200" i="6"/>
  <c r="H200" i="6" s="1"/>
  <c r="F200" i="6"/>
  <c r="H199" i="6"/>
  <c r="G199" i="6"/>
  <c r="F199" i="6"/>
  <c r="G198" i="6"/>
  <c r="H198" i="6" s="1"/>
  <c r="F198" i="6"/>
  <c r="H197" i="6"/>
  <c r="G197" i="6"/>
  <c r="F197" i="6"/>
  <c r="H196" i="6"/>
  <c r="G196" i="6"/>
  <c r="F196" i="6"/>
  <c r="H195" i="6"/>
  <c r="G195" i="6"/>
  <c r="F195" i="6"/>
  <c r="G194" i="6"/>
  <c r="H194" i="6" s="1"/>
  <c r="F194" i="6"/>
  <c r="H193" i="6"/>
  <c r="G193" i="6"/>
  <c r="F193" i="6"/>
  <c r="G192" i="6"/>
  <c r="H192" i="6" s="1"/>
  <c r="F192" i="6"/>
  <c r="H191" i="6"/>
  <c r="G191" i="6"/>
  <c r="F191" i="6"/>
  <c r="I190" i="6"/>
  <c r="G190" i="6"/>
  <c r="H190" i="6" s="1"/>
  <c r="F190" i="6"/>
  <c r="I189" i="6"/>
  <c r="H189" i="6"/>
  <c r="G189" i="6"/>
  <c r="F189" i="6"/>
  <c r="I188" i="6"/>
  <c r="G188" i="6"/>
  <c r="H188" i="6" s="1"/>
  <c r="F188" i="6"/>
  <c r="I187" i="6"/>
  <c r="I191" i="6" s="1"/>
  <c r="H187" i="6"/>
  <c r="G187" i="6"/>
  <c r="F187" i="6"/>
  <c r="H186" i="6"/>
  <c r="G186" i="6"/>
  <c r="F186" i="6"/>
  <c r="I185" i="6"/>
  <c r="H185" i="6"/>
  <c r="G185" i="6"/>
  <c r="F185" i="6"/>
  <c r="I184" i="6"/>
  <c r="H184" i="6"/>
  <c r="G184" i="6"/>
  <c r="F184" i="6"/>
  <c r="G183" i="6"/>
  <c r="H183" i="6" s="1"/>
  <c r="F183" i="6"/>
  <c r="H182" i="6"/>
  <c r="G182" i="6"/>
  <c r="F182" i="6"/>
  <c r="G181" i="6"/>
  <c r="H181" i="6" s="1"/>
  <c r="F181" i="6"/>
  <c r="G180" i="6"/>
  <c r="H180" i="6" s="1"/>
  <c r="F180" i="6"/>
  <c r="G179" i="6"/>
  <c r="H179" i="6" s="1"/>
  <c r="F179" i="6"/>
  <c r="H178" i="6"/>
  <c r="G178" i="6"/>
  <c r="F178" i="6"/>
  <c r="H177" i="6"/>
  <c r="G177" i="6"/>
  <c r="F177" i="6"/>
  <c r="H176" i="6"/>
  <c r="G176" i="6"/>
  <c r="F176" i="6"/>
  <c r="G175" i="6"/>
  <c r="H175" i="6" s="1"/>
  <c r="F175" i="6"/>
  <c r="H174" i="6"/>
  <c r="G174" i="6"/>
  <c r="F174" i="6"/>
  <c r="G173" i="6"/>
  <c r="H173" i="6" s="1"/>
  <c r="F173" i="6"/>
  <c r="G172" i="6"/>
  <c r="H172" i="6" s="1"/>
  <c r="F172" i="6"/>
  <c r="G171" i="6"/>
  <c r="H171" i="6" s="1"/>
  <c r="F171" i="6"/>
  <c r="H170" i="6"/>
  <c r="G170" i="6"/>
  <c r="F170" i="6"/>
  <c r="H169" i="6"/>
  <c r="G169" i="6"/>
  <c r="F169" i="6"/>
  <c r="H168" i="6"/>
  <c r="G168" i="6"/>
  <c r="F168" i="6"/>
  <c r="G167" i="6"/>
  <c r="H167" i="6" s="1"/>
  <c r="F167" i="6"/>
  <c r="H166" i="6"/>
  <c r="G166" i="6"/>
  <c r="F166" i="6"/>
  <c r="G165" i="6"/>
  <c r="H165" i="6" s="1"/>
  <c r="F165" i="6"/>
  <c r="H164" i="6"/>
  <c r="G164" i="6"/>
  <c r="F164" i="6"/>
  <c r="G163" i="6"/>
  <c r="H163" i="6" s="1"/>
  <c r="F163" i="6"/>
  <c r="H162" i="6"/>
  <c r="G162" i="6"/>
  <c r="F162" i="6"/>
  <c r="H161" i="6"/>
  <c r="G161" i="6"/>
  <c r="F161" i="6"/>
  <c r="H160" i="6"/>
  <c r="G160" i="6"/>
  <c r="F160" i="6"/>
  <c r="G159" i="6"/>
  <c r="H159" i="6" s="1"/>
  <c r="F159" i="6"/>
  <c r="H158" i="6"/>
  <c r="G158" i="6"/>
  <c r="F158" i="6"/>
  <c r="G157" i="6"/>
  <c r="H157" i="6" s="1"/>
  <c r="F157" i="6"/>
  <c r="H156" i="6"/>
  <c r="G156" i="6"/>
  <c r="F156" i="6"/>
  <c r="G155" i="6"/>
  <c r="H155" i="6" s="1"/>
  <c r="F155" i="6"/>
  <c r="H154" i="6"/>
  <c r="G154" i="6"/>
  <c r="F154" i="6"/>
  <c r="H153" i="6"/>
  <c r="G153" i="6"/>
  <c r="F153" i="6"/>
  <c r="H152" i="6"/>
  <c r="G152" i="6"/>
  <c r="F152" i="6"/>
  <c r="G151" i="6"/>
  <c r="H151" i="6" s="1"/>
  <c r="F151" i="6"/>
  <c r="H150" i="6"/>
  <c r="G150" i="6"/>
  <c r="F150" i="6"/>
  <c r="G149" i="6"/>
  <c r="H149" i="6" s="1"/>
  <c r="F149" i="6"/>
  <c r="H148" i="6"/>
  <c r="G148" i="6"/>
  <c r="F148" i="6"/>
  <c r="G147" i="6"/>
  <c r="H147" i="6" s="1"/>
  <c r="F147" i="6"/>
  <c r="H146" i="6"/>
  <c r="G146" i="6"/>
  <c r="F146" i="6"/>
  <c r="H145" i="6"/>
  <c r="G145" i="6"/>
  <c r="F145" i="6"/>
  <c r="H144" i="6"/>
  <c r="G144" i="6"/>
  <c r="F144" i="6"/>
  <c r="G143" i="6"/>
  <c r="H143" i="6" s="1"/>
  <c r="F143" i="6"/>
  <c r="H142" i="6"/>
  <c r="G142" i="6"/>
  <c r="F142" i="6"/>
  <c r="G141" i="6"/>
  <c r="H141" i="6" s="1"/>
  <c r="F141" i="6"/>
  <c r="G140" i="6"/>
  <c r="H140" i="6" s="1"/>
  <c r="F140" i="6"/>
  <c r="G139" i="6"/>
  <c r="H139" i="6" s="1"/>
  <c r="F139" i="6"/>
  <c r="H138" i="6"/>
  <c r="G138" i="6"/>
  <c r="F138" i="6"/>
  <c r="H137" i="6"/>
  <c r="G137" i="6"/>
  <c r="F137" i="6"/>
  <c r="H136" i="6"/>
  <c r="G136" i="6"/>
  <c r="F136" i="6"/>
  <c r="G135" i="6"/>
  <c r="H135" i="6" s="1"/>
  <c r="F135" i="6"/>
  <c r="H134" i="6"/>
  <c r="G134" i="6"/>
  <c r="F134" i="6"/>
  <c r="G133" i="6"/>
  <c r="H133" i="6" s="1"/>
  <c r="F133" i="6"/>
  <c r="G132" i="6"/>
  <c r="H132" i="6" s="1"/>
  <c r="F132" i="6"/>
  <c r="G131" i="6"/>
  <c r="H131" i="6" s="1"/>
  <c r="F131" i="6"/>
  <c r="H130" i="6"/>
  <c r="G130" i="6"/>
  <c r="F130" i="6"/>
  <c r="H129" i="6"/>
  <c r="G129" i="6"/>
  <c r="F129" i="6"/>
  <c r="H128" i="6"/>
  <c r="G128" i="6"/>
  <c r="F128" i="6"/>
  <c r="G127" i="6"/>
  <c r="H127" i="6" s="1"/>
  <c r="F127" i="6"/>
  <c r="H126" i="6"/>
  <c r="G126" i="6"/>
  <c r="F126" i="6"/>
  <c r="G125" i="6"/>
  <c r="H125" i="6" s="1"/>
  <c r="F125" i="6"/>
  <c r="H124" i="6"/>
  <c r="G124" i="6"/>
  <c r="F124" i="6"/>
  <c r="G123" i="6"/>
  <c r="H123" i="6" s="1"/>
  <c r="F123" i="6"/>
  <c r="H122" i="6"/>
  <c r="G122" i="6"/>
  <c r="F122" i="6"/>
  <c r="H121" i="6"/>
  <c r="G121" i="6"/>
  <c r="F121" i="6"/>
  <c r="H120" i="6"/>
  <c r="G120" i="6"/>
  <c r="F120" i="6"/>
  <c r="G119" i="6"/>
  <c r="H119" i="6" s="1"/>
  <c r="F119" i="6"/>
  <c r="H118" i="6"/>
  <c r="G118" i="6"/>
  <c r="F118" i="6"/>
  <c r="G117" i="6"/>
  <c r="H117" i="6" s="1"/>
  <c r="F117" i="6"/>
  <c r="G116" i="6"/>
  <c r="H116" i="6" s="1"/>
  <c r="F116" i="6"/>
  <c r="G115" i="6"/>
  <c r="H115" i="6" s="1"/>
  <c r="F115" i="6"/>
  <c r="H114" i="6"/>
  <c r="G114" i="6"/>
  <c r="F114" i="6"/>
  <c r="H113" i="6"/>
  <c r="G113" i="6"/>
  <c r="F113" i="6"/>
  <c r="H112" i="6"/>
  <c r="G112" i="6"/>
  <c r="F112" i="6"/>
  <c r="G111" i="6"/>
  <c r="H111" i="6" s="1"/>
  <c r="F111" i="6"/>
  <c r="H110" i="6"/>
  <c r="G110" i="6"/>
  <c r="F110" i="6"/>
  <c r="G109" i="6"/>
  <c r="H109" i="6" s="1"/>
  <c r="F109" i="6"/>
  <c r="G108" i="6"/>
  <c r="H108" i="6" s="1"/>
  <c r="F108" i="6"/>
  <c r="G107" i="6"/>
  <c r="H107" i="6" s="1"/>
  <c r="F107" i="6"/>
  <c r="H106" i="6"/>
  <c r="G106" i="6"/>
  <c r="F106" i="6"/>
  <c r="H105" i="6"/>
  <c r="G105" i="6"/>
  <c r="F105" i="6"/>
  <c r="H104" i="6"/>
  <c r="G104" i="6"/>
  <c r="F104" i="6"/>
  <c r="G103" i="6"/>
  <c r="H103" i="6" s="1"/>
  <c r="F103" i="6"/>
  <c r="H102" i="6"/>
  <c r="G102" i="6"/>
  <c r="F102" i="6"/>
  <c r="G101" i="6"/>
  <c r="H101" i="6" s="1"/>
  <c r="F101" i="6"/>
  <c r="H100" i="6"/>
  <c r="G100" i="6"/>
  <c r="F100" i="6"/>
  <c r="G99" i="6"/>
  <c r="H99" i="6" s="1"/>
  <c r="F99" i="6"/>
  <c r="F98" i="6"/>
  <c r="H97" i="6"/>
  <c r="G97" i="6"/>
  <c r="F97" i="6"/>
  <c r="C97" i="6"/>
  <c r="G98" i="6" s="1"/>
  <c r="H98" i="6" s="1"/>
  <c r="G96" i="6"/>
  <c r="H96" i="6" s="1"/>
  <c r="F96" i="6"/>
  <c r="G95" i="6"/>
  <c r="H95" i="6" s="1"/>
  <c r="F95" i="6"/>
  <c r="G94" i="6"/>
  <c r="H94" i="6" s="1"/>
  <c r="F94" i="6"/>
  <c r="H93" i="6"/>
  <c r="G93" i="6"/>
  <c r="F93" i="6"/>
  <c r="H92" i="6"/>
  <c r="G92" i="6"/>
  <c r="F92" i="6"/>
  <c r="H91" i="6"/>
  <c r="G91" i="6"/>
  <c r="F91" i="6"/>
  <c r="G90" i="6"/>
  <c r="H90" i="6" s="1"/>
  <c r="F90" i="6"/>
  <c r="H89" i="6"/>
  <c r="G89" i="6"/>
  <c r="F89" i="6"/>
  <c r="G88" i="6"/>
  <c r="H88" i="6" s="1"/>
  <c r="F88" i="6"/>
  <c r="H87" i="6"/>
  <c r="G87" i="6"/>
  <c r="F87" i="6"/>
  <c r="G86" i="6"/>
  <c r="H86" i="6" s="1"/>
  <c r="F86" i="6"/>
  <c r="H85" i="6"/>
  <c r="G85" i="6"/>
  <c r="F85" i="6"/>
  <c r="H84" i="6"/>
  <c r="G84" i="6"/>
  <c r="F84" i="6"/>
  <c r="H83" i="6"/>
  <c r="G83" i="6"/>
  <c r="F83" i="6"/>
  <c r="G82" i="6"/>
  <c r="H82" i="6" s="1"/>
  <c r="F82" i="6"/>
  <c r="H81" i="6"/>
  <c r="G81" i="6"/>
  <c r="F81" i="6"/>
  <c r="G80" i="6"/>
  <c r="H80" i="6" s="1"/>
  <c r="F80" i="6"/>
  <c r="G79" i="6"/>
  <c r="H79" i="6" s="1"/>
  <c r="F79" i="6"/>
  <c r="G78" i="6"/>
  <c r="H78" i="6" s="1"/>
  <c r="F78" i="6"/>
  <c r="H77" i="6"/>
  <c r="G77" i="6"/>
  <c r="F77" i="6"/>
  <c r="H76" i="6"/>
  <c r="G76" i="6"/>
  <c r="F76" i="6"/>
  <c r="H75" i="6"/>
  <c r="G75" i="6"/>
  <c r="F75" i="6"/>
  <c r="G74" i="6"/>
  <c r="H74" i="6" s="1"/>
  <c r="F74" i="6"/>
  <c r="H73" i="6"/>
  <c r="G73" i="6"/>
  <c r="F73" i="6"/>
  <c r="E73" i="6"/>
  <c r="N5" i="6" s="1"/>
  <c r="H72" i="6"/>
  <c r="G72" i="6"/>
  <c r="F72" i="6"/>
  <c r="H71" i="6"/>
  <c r="G71" i="6"/>
  <c r="F71" i="6"/>
  <c r="H70" i="6"/>
  <c r="G70" i="6"/>
  <c r="F70" i="6"/>
  <c r="G69" i="6"/>
  <c r="H69" i="6" s="1"/>
  <c r="F69" i="6"/>
  <c r="H68" i="6"/>
  <c r="G68" i="6"/>
  <c r="F68" i="6"/>
  <c r="G67" i="6"/>
  <c r="H67" i="6" s="1"/>
  <c r="F67" i="6"/>
  <c r="G66" i="6"/>
  <c r="H66" i="6" s="1"/>
  <c r="F66" i="6"/>
  <c r="G65" i="6"/>
  <c r="H65" i="6" s="1"/>
  <c r="F65" i="6"/>
  <c r="E65" i="6"/>
  <c r="G64" i="6"/>
  <c r="H64" i="6" s="1"/>
  <c r="F64" i="6"/>
  <c r="H63" i="6"/>
  <c r="G63" i="6"/>
  <c r="F63" i="6"/>
  <c r="E63" i="6"/>
  <c r="H62" i="6"/>
  <c r="G62" i="6"/>
  <c r="F62" i="6"/>
  <c r="H61" i="6"/>
  <c r="G61" i="6"/>
  <c r="F61" i="6"/>
  <c r="H60" i="6"/>
  <c r="G60" i="6"/>
  <c r="F60" i="6"/>
  <c r="G59" i="6"/>
  <c r="H59" i="6" s="1"/>
  <c r="F59" i="6"/>
  <c r="H58" i="6"/>
  <c r="G58" i="6"/>
  <c r="F58" i="6"/>
  <c r="G57" i="6"/>
  <c r="H57" i="6" s="1"/>
  <c r="F57" i="6"/>
  <c r="G56" i="6"/>
  <c r="H56" i="6" s="1"/>
  <c r="F56" i="6"/>
  <c r="G55" i="6"/>
  <c r="H55" i="6" s="1"/>
  <c r="F55" i="6"/>
  <c r="H54" i="6"/>
  <c r="G54" i="6"/>
  <c r="F54" i="6"/>
  <c r="H53" i="6"/>
  <c r="G53" i="6"/>
  <c r="F53" i="6"/>
  <c r="E53" i="6"/>
  <c r="G52" i="6"/>
  <c r="H52" i="6" s="1"/>
  <c r="F52" i="6"/>
  <c r="G51" i="6"/>
  <c r="H51" i="6" s="1"/>
  <c r="F51" i="6"/>
  <c r="C51" i="6"/>
  <c r="H50" i="6"/>
  <c r="G50" i="6"/>
  <c r="F50" i="6"/>
  <c r="G49" i="6"/>
  <c r="H49" i="6" s="1"/>
  <c r="F49" i="6"/>
  <c r="H48" i="6"/>
  <c r="G48" i="6"/>
  <c r="F48" i="6"/>
  <c r="G47" i="6"/>
  <c r="H47" i="6" s="1"/>
  <c r="F47" i="6"/>
  <c r="G46" i="6"/>
  <c r="H46" i="6" s="1"/>
  <c r="F46" i="6"/>
  <c r="G45" i="6"/>
  <c r="H45" i="6" s="1"/>
  <c r="F45" i="6"/>
  <c r="H44" i="6"/>
  <c r="G44" i="6"/>
  <c r="F44" i="6"/>
  <c r="H43" i="6"/>
  <c r="G43" i="6"/>
  <c r="F43" i="6"/>
  <c r="E43" i="6"/>
  <c r="G42" i="6"/>
  <c r="H42" i="6" s="1"/>
  <c r="F42" i="6"/>
  <c r="H41" i="6"/>
  <c r="G41" i="6"/>
  <c r="F41" i="6"/>
  <c r="G40" i="6"/>
  <c r="H40" i="6" s="1"/>
  <c r="F40" i="6"/>
  <c r="H39" i="6"/>
  <c r="G39" i="6"/>
  <c r="F39" i="6"/>
  <c r="E39" i="6"/>
  <c r="H38" i="6"/>
  <c r="G38" i="6"/>
  <c r="F38" i="6"/>
  <c r="E38" i="6"/>
  <c r="H37" i="6"/>
  <c r="G37" i="6"/>
  <c r="F37" i="6"/>
  <c r="E37" i="6"/>
  <c r="H36" i="6"/>
  <c r="G36" i="6"/>
  <c r="F36" i="6"/>
  <c r="G35" i="6"/>
  <c r="H35" i="6" s="1"/>
  <c r="F35" i="6"/>
  <c r="G34" i="6"/>
  <c r="H34" i="6" s="1"/>
  <c r="F34" i="6"/>
  <c r="E34" i="6"/>
  <c r="H33" i="6"/>
  <c r="G33" i="6"/>
  <c r="F33" i="6"/>
  <c r="E33" i="6"/>
  <c r="G32" i="6"/>
  <c r="H32" i="6" s="1"/>
  <c r="F32" i="6"/>
  <c r="G31" i="6"/>
  <c r="H31" i="6" s="1"/>
  <c r="F31" i="6"/>
  <c r="H30" i="6"/>
  <c r="G30" i="6"/>
  <c r="F30" i="6"/>
  <c r="M12" i="2" s="1"/>
  <c r="E30" i="6"/>
  <c r="H29" i="6"/>
  <c r="G29" i="6"/>
  <c r="F29" i="6"/>
  <c r="E29" i="6"/>
  <c r="H28" i="6"/>
  <c r="G28" i="6"/>
  <c r="F28" i="6"/>
  <c r="H27" i="6"/>
  <c r="G27" i="6"/>
  <c r="F27" i="6"/>
  <c r="H26" i="6"/>
  <c r="G26" i="6"/>
  <c r="F26" i="6"/>
  <c r="G25" i="6"/>
  <c r="H25" i="6" s="1"/>
  <c r="F25" i="6"/>
  <c r="K4" i="6" s="1"/>
  <c r="H24" i="6"/>
  <c r="G24" i="6"/>
  <c r="F24" i="6"/>
  <c r="G23" i="6"/>
  <c r="H23" i="6" s="1"/>
  <c r="F23" i="6"/>
  <c r="H22" i="6"/>
  <c r="G22" i="6"/>
  <c r="F22" i="6"/>
  <c r="G21" i="6"/>
  <c r="H21" i="6" s="1"/>
  <c r="F21" i="6"/>
  <c r="H20" i="6"/>
  <c r="G20" i="6"/>
  <c r="F20" i="6"/>
  <c r="H19" i="6"/>
  <c r="G19" i="6"/>
  <c r="F19" i="6"/>
  <c r="H18" i="6"/>
  <c r="G18" i="6"/>
  <c r="F18" i="6"/>
  <c r="C18" i="6"/>
  <c r="C283" i="6" s="1"/>
  <c r="G17" i="6"/>
  <c r="H17" i="6" s="1"/>
  <c r="F17" i="6"/>
  <c r="G16" i="6"/>
  <c r="H16" i="6" s="1"/>
  <c r="F16" i="6"/>
  <c r="H15" i="6"/>
  <c r="G15" i="6"/>
  <c r="F15" i="6"/>
  <c r="E15" i="6"/>
  <c r="H14" i="6"/>
  <c r="G14" i="6"/>
  <c r="F14" i="6"/>
  <c r="G13" i="6"/>
  <c r="H13" i="6" s="1"/>
  <c r="F13" i="6"/>
  <c r="H12" i="6"/>
  <c r="G12" i="6"/>
  <c r="F12" i="6"/>
  <c r="G11" i="6"/>
  <c r="H11" i="6" s="1"/>
  <c r="F11" i="6"/>
  <c r="E11" i="6"/>
  <c r="G10" i="6"/>
  <c r="H10" i="6" s="1"/>
  <c r="F10" i="6"/>
  <c r="H9" i="6"/>
  <c r="G9" i="6"/>
  <c r="F9" i="6"/>
  <c r="G8" i="6"/>
  <c r="H8" i="6" s="1"/>
  <c r="F8" i="6"/>
  <c r="H7" i="6"/>
  <c r="G7" i="6"/>
  <c r="F7" i="6"/>
  <c r="H6" i="6"/>
  <c r="G6" i="6"/>
  <c r="F6" i="6"/>
  <c r="E6" i="6"/>
  <c r="H5" i="6"/>
  <c r="G5" i="6"/>
  <c r="F5" i="6"/>
  <c r="E5" i="6"/>
  <c r="H4" i="6"/>
  <c r="G4" i="6"/>
  <c r="F4" i="6"/>
  <c r="E4" i="6"/>
  <c r="G3" i="6"/>
  <c r="F3" i="6"/>
  <c r="J5" i="6" s="1"/>
  <c r="E3" i="6"/>
  <c r="H74" i="5"/>
  <c r="D70" i="5"/>
  <c r="G65" i="5"/>
  <c r="F65" i="5"/>
  <c r="G64" i="5"/>
  <c r="F64" i="5"/>
  <c r="F63" i="5"/>
  <c r="G63" i="5" s="1"/>
  <c r="L62" i="5"/>
  <c r="L64" i="5" s="1"/>
  <c r="I62" i="5"/>
  <c r="G62" i="5"/>
  <c r="F62" i="5"/>
  <c r="G61" i="5"/>
  <c r="F61" i="5"/>
  <c r="F60" i="5"/>
  <c r="G60" i="5" s="1"/>
  <c r="I59" i="5"/>
  <c r="G59" i="5"/>
  <c r="F59" i="5"/>
  <c r="F58" i="5"/>
  <c r="G58" i="5" s="1"/>
  <c r="F57" i="5"/>
  <c r="I57" i="5" s="1"/>
  <c r="G56" i="5"/>
  <c r="F56" i="5"/>
  <c r="G55" i="5"/>
  <c r="F55" i="5"/>
  <c r="I54" i="5"/>
  <c r="F54" i="5"/>
  <c r="G54" i="5" s="1"/>
  <c r="I53" i="5"/>
  <c r="G53" i="5"/>
  <c r="F53" i="5"/>
  <c r="L52" i="5"/>
  <c r="J52" i="5"/>
  <c r="K53" i="5" s="1"/>
  <c r="F52" i="5"/>
  <c r="G52" i="5" s="1"/>
  <c r="F50" i="5"/>
  <c r="G50" i="5" s="1"/>
  <c r="G48" i="5"/>
  <c r="F48" i="5"/>
  <c r="L47" i="5"/>
  <c r="G47" i="5"/>
  <c r="F47" i="5"/>
  <c r="P46" i="5"/>
  <c r="F46" i="5"/>
  <c r="G46" i="5" s="1"/>
  <c r="G45" i="5"/>
  <c r="F45" i="5"/>
  <c r="F44" i="5"/>
  <c r="G44" i="5" s="1"/>
  <c r="F43" i="5"/>
  <c r="G43" i="5" s="1"/>
  <c r="F42" i="5"/>
  <c r="G42" i="5" s="1"/>
  <c r="G41" i="5"/>
  <c r="F41" i="5"/>
  <c r="F40" i="5"/>
  <c r="G40" i="5" s="1"/>
  <c r="F39" i="5"/>
  <c r="G39" i="5" s="1"/>
  <c r="G38" i="5"/>
  <c r="J38" i="5" s="1"/>
  <c r="F38" i="5"/>
  <c r="G37" i="5"/>
  <c r="F37" i="5"/>
  <c r="J36" i="5"/>
  <c r="G35" i="5"/>
  <c r="J35" i="5" s="1"/>
  <c r="F35" i="5"/>
  <c r="G34" i="5"/>
  <c r="J34" i="5" s="1"/>
  <c r="F34" i="5"/>
  <c r="F33" i="5"/>
  <c r="G33" i="5" s="1"/>
  <c r="J33" i="5" s="1"/>
  <c r="G32" i="5"/>
  <c r="F32" i="5"/>
  <c r="G31" i="5"/>
  <c r="J31" i="5" s="1"/>
  <c r="F31" i="5"/>
  <c r="G30" i="5"/>
  <c r="J30" i="5" s="1"/>
  <c r="F30" i="5"/>
  <c r="G29" i="5"/>
  <c r="K29" i="5" s="1"/>
  <c r="F29" i="5"/>
  <c r="F28" i="5"/>
  <c r="G28" i="5" s="1"/>
  <c r="K28" i="5" s="1"/>
  <c r="K27" i="5"/>
  <c r="G27" i="5"/>
  <c r="F27" i="5"/>
  <c r="F26" i="5"/>
  <c r="G26" i="5" s="1"/>
  <c r="K26" i="5" s="1"/>
  <c r="K30" i="5" s="1"/>
  <c r="L30" i="5" s="1"/>
  <c r="G25" i="5"/>
  <c r="F25" i="5"/>
  <c r="I25" i="5" s="1"/>
  <c r="F24" i="5"/>
  <c r="F23" i="5"/>
  <c r="G22" i="5"/>
  <c r="F22" i="5"/>
  <c r="F21" i="5"/>
  <c r="G21" i="5" s="1"/>
  <c r="F20" i="5"/>
  <c r="G20" i="5" s="1"/>
  <c r="F19" i="5"/>
  <c r="G19" i="5" s="1"/>
  <c r="G18" i="5"/>
  <c r="F18" i="5"/>
  <c r="F17" i="5"/>
  <c r="G17" i="5" s="1"/>
  <c r="F16" i="5"/>
  <c r="G16" i="5" s="1"/>
  <c r="F15" i="5"/>
  <c r="G15" i="5" s="1"/>
  <c r="G14" i="5"/>
  <c r="F14" i="5"/>
  <c r="F13" i="5"/>
  <c r="G13" i="5" s="1"/>
  <c r="F12" i="5"/>
  <c r="G12" i="5" s="1"/>
  <c r="F11" i="5"/>
  <c r="G11" i="5" s="1"/>
  <c r="G10" i="5"/>
  <c r="F10" i="5"/>
  <c r="F9" i="5"/>
  <c r="G9" i="5" s="1"/>
  <c r="F8" i="5"/>
  <c r="G8" i="5" s="1"/>
  <c r="G7" i="5"/>
  <c r="F7" i="5"/>
  <c r="I7" i="5" s="1"/>
  <c r="F6" i="5"/>
  <c r="F5" i="5"/>
  <c r="I5" i="5" s="1"/>
  <c r="I4" i="5"/>
  <c r="G4" i="5"/>
  <c r="F4" i="5"/>
  <c r="G3" i="5"/>
  <c r="F3" i="5"/>
  <c r="I3" i="5" s="1"/>
  <c r="F2" i="5"/>
  <c r="B71" i="4"/>
  <c r="B68" i="4"/>
  <c r="B62" i="4"/>
  <c r="E59" i="4"/>
  <c r="E62" i="4" s="1"/>
  <c r="B59" i="4"/>
  <c r="B49" i="4"/>
  <c r="B52" i="4" s="1"/>
  <c r="E42" i="4"/>
  <c r="B42" i="4"/>
  <c r="B39" i="4"/>
  <c r="E34" i="4"/>
  <c r="E33" i="4"/>
  <c r="B33" i="4"/>
  <c r="E24" i="4"/>
  <c r="E23" i="4"/>
  <c r="B23" i="4"/>
  <c r="B26" i="4" s="1"/>
  <c r="B17" i="4"/>
  <c r="E15" i="4"/>
  <c r="E17" i="4" s="1"/>
  <c r="B15" i="4"/>
  <c r="B5" i="4"/>
  <c r="B8" i="4" s="1"/>
  <c r="B47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B23" i="3"/>
  <c r="E22" i="3"/>
  <c r="H20" i="3"/>
  <c r="E20" i="3"/>
  <c r="E19" i="3"/>
  <c r="E18" i="3"/>
  <c r="E17" i="3"/>
  <c r="E16" i="3"/>
  <c r="E15" i="3"/>
  <c r="H12" i="3"/>
  <c r="E12" i="3"/>
  <c r="H11" i="3"/>
  <c r="G11" i="3"/>
  <c r="E11" i="3"/>
  <c r="E10" i="3"/>
  <c r="E9" i="3"/>
  <c r="H8" i="3"/>
  <c r="E8" i="3"/>
  <c r="H7" i="3"/>
  <c r="E7" i="3"/>
  <c r="E6" i="3"/>
  <c r="B5" i="3"/>
  <c r="H15" i="3" s="1"/>
  <c r="H4" i="3"/>
  <c r="I25" i="2"/>
  <c r="J25" i="2" s="1"/>
  <c r="K25" i="2" s="1"/>
  <c r="L25" i="2" s="1"/>
  <c r="M25" i="2" s="1"/>
  <c r="N25" i="2" s="1"/>
  <c r="O22" i="2"/>
  <c r="N14" i="2"/>
  <c r="M14" i="2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I306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L16" i="2" l="1"/>
  <c r="B15" i="2"/>
  <c r="K38" i="5"/>
  <c r="C3" i="2"/>
  <c r="J4" i="2"/>
  <c r="C7" i="2"/>
  <c r="M8" i="2"/>
  <c r="J9" i="2"/>
  <c r="J10" i="2"/>
  <c r="J11" i="2"/>
  <c r="I12" i="2"/>
  <c r="J13" i="2"/>
  <c r="C16" i="2"/>
  <c r="E23" i="3"/>
  <c r="H6" i="3"/>
  <c r="H9" i="3" s="1"/>
  <c r="M3" i="2"/>
  <c r="H5" i="2"/>
  <c r="F6" i="2"/>
  <c r="L8" i="2"/>
  <c r="I10" i="2"/>
  <c r="H12" i="2"/>
  <c r="K14" i="2"/>
  <c r="H2" i="2"/>
  <c r="D3" i="2"/>
  <c r="N3" i="2"/>
  <c r="K4" i="2"/>
  <c r="J5" i="2"/>
  <c r="G6" i="2"/>
  <c r="D7" i="2"/>
  <c r="C8" i="2"/>
  <c r="I2" i="2"/>
  <c r="E3" i="2"/>
  <c r="B4" i="2"/>
  <c r="M4" i="2"/>
  <c r="K5" i="2"/>
  <c r="H6" i="2"/>
  <c r="F7" i="2"/>
  <c r="D8" i="2"/>
  <c r="N8" i="2"/>
  <c r="L9" i="2"/>
  <c r="K10" i="2"/>
  <c r="L11" i="2"/>
  <c r="J12" i="2"/>
  <c r="K13" i="2"/>
  <c r="D16" i="2"/>
  <c r="C2" i="2"/>
  <c r="K2" i="2"/>
  <c r="G3" i="2"/>
  <c r="E4" i="2"/>
  <c r="C5" i="2"/>
  <c r="M5" i="2"/>
  <c r="K6" i="2"/>
  <c r="I7" i="2"/>
  <c r="F8" i="2"/>
  <c r="D9" i="2"/>
  <c r="B10" i="2"/>
  <c r="B11" i="2"/>
  <c r="N11" i="2"/>
  <c r="B13" i="2"/>
  <c r="C14" i="2"/>
  <c r="F15" i="2"/>
  <c r="I16" i="2"/>
  <c r="I23" i="5"/>
  <c r="G23" i="5"/>
  <c r="N6" i="6"/>
  <c r="N12" i="2"/>
  <c r="M9" i="2"/>
  <c r="N4" i="2"/>
  <c r="M5" i="6"/>
  <c r="N4" i="6"/>
  <c r="M15" i="2"/>
  <c r="N10" i="2"/>
  <c r="L4" i="2"/>
  <c r="K6" i="6"/>
  <c r="L6" i="6" s="1"/>
  <c r="M4" i="6"/>
  <c r="N3" i="6"/>
  <c r="N13" i="2"/>
  <c r="J6" i="6"/>
  <c r="K5" i="6"/>
  <c r="L5" i="6" s="1"/>
  <c r="M3" i="6"/>
  <c r="M13" i="2"/>
  <c r="J3" i="6"/>
  <c r="J4" i="6"/>
  <c r="L4" i="6" s="1"/>
  <c r="G2" i="2"/>
  <c r="M6" i="6"/>
  <c r="B2" i="2"/>
  <c r="J2" i="2"/>
  <c r="F3" i="2"/>
  <c r="C4" i="2"/>
  <c r="B5" i="2"/>
  <c r="I6" i="2"/>
  <c r="H7" i="2"/>
  <c r="B9" i="2"/>
  <c r="M11" i="2"/>
  <c r="L13" i="2"/>
  <c r="E16" i="2"/>
  <c r="D2" i="2"/>
  <c r="L2" i="2"/>
  <c r="H3" i="2"/>
  <c r="G4" i="2"/>
  <c r="D5" i="2"/>
  <c r="N5" i="2"/>
  <c r="M6" i="2"/>
  <c r="J7" i="2"/>
  <c r="G8" i="2"/>
  <c r="F9" i="2"/>
  <c r="C10" i="2"/>
  <c r="D11" i="2"/>
  <c r="B12" i="2"/>
  <c r="C13" i="2"/>
  <c r="E14" i="2"/>
  <c r="H15" i="2"/>
  <c r="G24" i="5"/>
  <c r="I24" i="5"/>
  <c r="N15" i="2"/>
  <c r="L5" i="2"/>
  <c r="E8" i="2"/>
  <c r="L10" i="2"/>
  <c r="J16" i="2"/>
  <c r="B16" i="2"/>
  <c r="G15" i="2"/>
  <c r="L14" i="2"/>
  <c r="D14" i="2"/>
  <c r="I13" i="2"/>
  <c r="F12" i="2"/>
  <c r="K11" i="2"/>
  <c r="C11" i="2"/>
  <c r="H10" i="2"/>
  <c r="E9" i="2"/>
  <c r="J8" i="2"/>
  <c r="B8" i="2"/>
  <c r="G7" i="2"/>
  <c r="L6" i="2"/>
  <c r="D6" i="2"/>
  <c r="I5" i="2"/>
  <c r="F4" i="2"/>
  <c r="K3" i="2"/>
  <c r="H16" i="2"/>
  <c r="E15" i="2"/>
  <c r="J14" i="2"/>
  <c r="B14" i="2"/>
  <c r="G13" i="2"/>
  <c r="L12" i="2"/>
  <c r="D12" i="2"/>
  <c r="I11" i="2"/>
  <c r="F10" i="2"/>
  <c r="K9" i="2"/>
  <c r="C9" i="2"/>
  <c r="H8" i="2"/>
  <c r="M7" i="2"/>
  <c r="E7" i="2"/>
  <c r="J6" i="2"/>
  <c r="B6" i="2"/>
  <c r="G5" i="2"/>
  <c r="D4" i="2"/>
  <c r="I3" i="2"/>
  <c r="G16" i="2"/>
  <c r="L15" i="2"/>
  <c r="D15" i="2"/>
  <c r="I14" i="2"/>
  <c r="F13" i="2"/>
  <c r="K12" i="2"/>
  <c r="C12" i="2"/>
  <c r="H11" i="2"/>
  <c r="M10" i="2"/>
  <c r="E10" i="2"/>
  <c r="N16" i="2"/>
  <c r="F16" i="2"/>
  <c r="K15" i="2"/>
  <c r="C15" i="2"/>
  <c r="H14" i="2"/>
  <c r="K16" i="2"/>
  <c r="E2" i="2"/>
  <c r="M2" i="2"/>
  <c r="M17" i="2" s="1"/>
  <c r="J3" i="2"/>
  <c r="H4" i="2"/>
  <c r="E5" i="2"/>
  <c r="C6" i="2"/>
  <c r="N6" i="2"/>
  <c r="K7" i="2"/>
  <c r="I8" i="2"/>
  <c r="G9" i="2"/>
  <c r="D10" i="2"/>
  <c r="E11" i="2"/>
  <c r="E12" i="2"/>
  <c r="D13" i="2"/>
  <c r="F14" i="2"/>
  <c r="I15" i="2"/>
  <c r="M16" i="2"/>
  <c r="H16" i="3"/>
  <c r="G6" i="5"/>
  <c r="I6" i="5"/>
  <c r="K3" i="6"/>
  <c r="L3" i="6" s="1"/>
  <c r="D283" i="6"/>
  <c r="N7" i="2"/>
  <c r="I9" i="2"/>
  <c r="G11" i="2"/>
  <c r="H13" i="2"/>
  <c r="N9" i="2"/>
  <c r="F2" i="2"/>
  <c r="B3" i="2"/>
  <c r="L3" i="2"/>
  <c r="I4" i="2"/>
  <c r="F5" i="2"/>
  <c r="E6" i="2"/>
  <c r="B7" i="2"/>
  <c r="L7" i="2"/>
  <c r="K8" i="2"/>
  <c r="H9" i="2"/>
  <c r="G10" i="2"/>
  <c r="F11" i="2"/>
  <c r="G12" i="2"/>
  <c r="E13" i="2"/>
  <c r="G14" i="2"/>
  <c r="J15" i="2"/>
  <c r="I2" i="5"/>
  <c r="G2" i="5"/>
  <c r="G5" i="5"/>
  <c r="G57" i="5"/>
  <c r="F17" i="2" l="1"/>
  <c r="F18" i="2"/>
  <c r="F22" i="2"/>
  <c r="K23" i="5"/>
  <c r="M35" i="5" s="1"/>
  <c r="M37" i="5" s="1"/>
  <c r="G22" i="2"/>
  <c r="G18" i="2"/>
  <c r="E18" i="2"/>
  <c r="E22" i="2"/>
  <c r="N18" i="2"/>
  <c r="N22" i="2"/>
  <c r="N19" i="2"/>
  <c r="J22" i="2"/>
  <c r="J18" i="2"/>
  <c r="J17" i="2"/>
  <c r="K17" i="2"/>
  <c r="I17" i="2"/>
  <c r="D18" i="2"/>
  <c r="D22" i="2"/>
  <c r="M18" i="2"/>
  <c r="M19" i="2" s="1"/>
  <c r="M22" i="2"/>
  <c r="E17" i="2"/>
  <c r="B17" i="2"/>
  <c r="C17" i="2"/>
  <c r="H17" i="2"/>
  <c r="I22" i="2"/>
  <c r="I18" i="2"/>
  <c r="H18" i="2"/>
  <c r="H22" i="2"/>
  <c r="G17" i="2"/>
  <c r="L18" i="2"/>
  <c r="L22" i="2"/>
  <c r="L17" i="2"/>
  <c r="C18" i="2"/>
  <c r="C22" i="2"/>
  <c r="G70" i="5"/>
  <c r="B22" i="2"/>
  <c r="B18" i="2"/>
  <c r="K18" i="2"/>
  <c r="K22" i="2"/>
  <c r="D17" i="2"/>
  <c r="D19" i="2" s="1"/>
  <c r="N17" i="2"/>
  <c r="F19" i="2" l="1"/>
  <c r="J19" i="2"/>
  <c r="G19" i="2"/>
  <c r="L19" i="2"/>
  <c r="H19" i="2"/>
  <c r="I19" i="2"/>
  <c r="C19" i="2"/>
  <c r="E19" i="2"/>
  <c r="K19" i="2"/>
  <c r="B19" i="2"/>
  <c r="B20" i="2" s="1"/>
  <c r="C20" i="2" l="1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tc={ad232839-d997-4987-913a-358b64ea7c45}</author>
  </authors>
  <commentList>
    <comment ref="A1" authorId="0" shapeId="0" xr:uid="{AD232839-D997-4987-913A-358B64EA7C4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 sumado el seguro del auto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tc={273f3b46-12de-47e6-a143-23fa84122568}</author>
    <author>tc={76569987-c0f7-443a-a062-7a5322f843a0}</author>
    <author>tc={551191da-d63a-4b92-b35b-8b6a9aedcb5f}</author>
  </authors>
  <commentList>
    <comment ref="A8" authorId="0" shapeId="0" xr:uid="{273F3B46-12DE-47E6-A143-23FA8412256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Devolucion a Sergio que pago adelanto
</t>
        </r>
      </text>
    </comment>
    <comment ref="A9" authorId="1" shapeId="0" xr:uid="{76569987-C0F7-443A-A062-7A5322F843A0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aca 180 se transfieren a Sergio adelanto
</t>
        </r>
      </text>
    </comment>
    <comment ref="A11" authorId="2" shapeId="0" xr:uid="{551191DA-D63A-4B92-B35B-8B6A9AEDCB5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aca 25 se transfieren a Sergio pago sabado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tc={757ba74f-b174-4127-a5f3-6b14e00a82f9}</author>
  </authors>
  <commentList>
    <comment ref="A16" authorId="0" shapeId="0" xr:uid="{757BA74F-B174-4127-A5F3-6B14E00A82F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devuelve la torasca a Sergio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tc={b43760dd-b028-4640-9ba8-ae8e04443312}</author>
    <author>tc={b9bac775-638f-4086-a263-5b1f96e08309}</author>
    <author>tc={aa22a2d6-b64a-4bdd-bd5c-300d6eb46fa9}</author>
    <author>tc={9c3ed3a8-2e30-42a0-a1fa-ba7fd0742ab6}</author>
    <author>tc={c14c633a-5087-4701-b45f-2390d7d6103e}</author>
    <author>tc={1ce8a0ad-d7a2-45b2-8685-019753793ef8}</author>
    <author>tc={bf23a208-8f6c-48cf-80c3-b6022333768a}</author>
    <author>tc={04f1b244-aff0-4ae6-88f9-32c741c3f8cc}</author>
    <author>tc={316b87c6-f8b4-4afa-bc85-561b838a7042}</author>
    <author>tc={acce5899-4b47-4641-9d67-9e333a396688}</author>
    <author>tc={7ca181e9-3ea6-424b-9ee5-dfd764f0a469}</author>
    <author>tc={9f2af516-7325-4d6c-a8af-7f19db715875}</author>
    <author>tc={39afb3c6-9a15-4ec6-b4d9-6b85bdd17b5f}</author>
    <author>tc={0f6b8f5f-f892-48b3-a5fb-b79ecaba2d2a}</author>
    <author>tc={0f97d4aa-1670-4576-95dd-6ff8af27f337}</author>
    <author>tc={81cf3c99-4ff6-4225-bff2-25d6844e6b8f}</author>
    <author>tc={eba7eb94-beb4-452f-b5aa-7a31ccb1694e}</author>
    <author>tc={cb57bf27-a815-420e-ba92-a9fc4f98eb6b}</author>
    <author>tc={fea6c596-cae1-469e-8d65-6a31ce87af5c}</author>
    <author>tc={d4286625-9a5d-49fe-94fb-d4601708ad3b}</author>
  </authors>
  <commentList>
    <comment ref="A7" authorId="0" shapeId="0" xr:uid="{B43760DD-B028-4640-9BA8-AE8E0444331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parte de devolucion a sueldos que anticipo
</t>
        </r>
      </text>
    </comment>
    <comment ref="A18" authorId="1" shapeId="0" xr:uid="{B9BAC775-638F-4086-A263-5B1F96E0830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Pago a Mamu 2 1/2, y 1 dia de adelanto a payo
</t>
        </r>
      </text>
    </comment>
    <comment ref="A19" authorId="2" shapeId="0" xr:uid="{AA22A2D6-B64A-4BDD-BD5C-300D6EB46FA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Compra Hecha en cerillos
</t>
        </r>
      </text>
    </comment>
    <comment ref="A21" authorId="3" shapeId="0" xr:uid="{9C3ED3A8-2E30-42A0-A1FA-BA7FD0742AB6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parte de prestamo de 1M
</t>
        </r>
      </text>
    </comment>
    <comment ref="A22" authorId="4" shapeId="0" xr:uid="{C14C633A-5087-4701-B45F-2390D7D6103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Como parte de Prestamo 1M
</t>
        </r>
      </text>
    </comment>
    <comment ref="A26" authorId="5" shapeId="0" xr:uid="{1CE8A0AD-D7A2-45B2-8685-019753793EF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200 PARA SU PRESTAMO DE 1M, Y 200 ENTERAR PARA LA VACA
</t>
        </r>
      </text>
    </comment>
    <comment ref="A27" authorId="6" shapeId="0" xr:uid="{BF23A208-8F6C-48CF-80C3-B6022333768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Marimar hizo las compras, devolucion
</t>
        </r>
      </text>
    </comment>
    <comment ref="A29" authorId="7" shapeId="0" xr:uid="{04F1B244-AFF0-4AE6-88F9-32C741C3F8C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Gastos echos en octubre de uber
</t>
        </r>
      </text>
    </comment>
    <comment ref="A30" authorId="8" shapeId="0" xr:uid="{316B87C6-F8B4-4AFA-BC85-561B838A7042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Movimiento echo para igualar los tantos, quizas por perdida de informacion
</t>
        </r>
      </text>
    </comment>
    <comment ref="A34" authorId="9" shapeId="0" xr:uid="{ACCE5899-4B47-4641-9D67-9E333A396688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Aca se paga el prestamo y un aliciente de cuota
</t>
        </r>
      </text>
    </comment>
    <comment ref="C116" authorId="10" shapeId="0" xr:uid="{7CA181E9-3EA6-424B-9EE5-DFD764F0A469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aplique a los 9000 para que de
</t>
        </r>
      </text>
    </comment>
    <comment ref="A187" authorId="11" shapeId="0" xr:uid="{9F2AF516-7325-4D6C-A8AF-7F19DB715875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jamas entro en Naranja a fines practicos
</t>
        </r>
      </text>
    </comment>
    <comment ref="A190" authorId="12" shapeId="0" xr:uid="{39AFB3C6-9A15-4EC6-B4D9-6B85BDD17B5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 calculo no Entra naranja
</t>
        </r>
      </text>
    </comment>
    <comment ref="A191" authorId="13" shapeId="0" xr:uid="{0F6B8F5F-F892-48B3-A5FB-B79ECABA2D2A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sale de naranja X
</t>
        </r>
      </text>
    </comment>
    <comment ref="A192" authorId="14" shapeId="0" xr:uid="{0F97D4AA-1670-4576-95DD-6FF8AF27F337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sale NX
</t>
        </r>
      </text>
    </comment>
    <comment ref="A193" authorId="15" shapeId="0" xr:uid="{81CF3C99-4FF6-4225-BFF2-25D6844E6B8F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sale de NX
</t>
        </r>
      </text>
    </comment>
    <comment ref="A197" authorId="16" shapeId="0" xr:uid="{EBA7EB94-BEB4-452F-B5AA-7A31CCB1694E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sale de NX LE PONGO PARA AYUDAR
</t>
        </r>
      </text>
    </comment>
    <comment ref="A198" authorId="17" shapeId="0" xr:uid="{CB57BF27-A815-420E-BA92-A9FC4F98EB6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Debia haber entrado en caja, pero no entro y salio por fuera de nx,
</t>
        </r>
      </text>
    </comment>
    <comment ref="A207" authorId="18" shapeId="0" xr:uid="{FEA6C596-CAE1-469E-8D65-6A31CE87AF5C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 hace parte de Naranja X a fines de control nomas
</t>
        </r>
      </text>
    </comment>
    <comment ref="A253" authorId="19" shapeId="0" xr:uid="{D4286625-9A5D-49FE-94FB-D4601708AD3B}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item pongo en 890 mas alla de que fue de 950 pero lo pongo a son de que es para dolares y me transfirio vidai
</t>
        </r>
      </text>
    </comment>
  </commentList>
</comments>
</file>

<file path=xl/sharedStrings.xml><?xml version="1.0" encoding="utf-8"?>
<sst xmlns="http://schemas.openxmlformats.org/spreadsheetml/2006/main" count="3415" uniqueCount="624">
  <si>
    <t>Sueldo</t>
  </si>
  <si>
    <t>Prestamos PAPA</t>
  </si>
  <si>
    <t>Concepto</t>
  </si>
  <si>
    <t>Pagos</t>
  </si>
  <si>
    <t>Fecha</t>
  </si>
  <si>
    <t>Tipo</t>
  </si>
  <si>
    <t>Columna 1</t>
  </si>
  <si>
    <t>Descripcion</t>
  </si>
  <si>
    <t xml:space="preserve">Tierras de Ramirez y demas </t>
  </si>
  <si>
    <t>Tipo Movimiento</t>
  </si>
  <si>
    <t>Monto</t>
  </si>
  <si>
    <t>Categoria</t>
  </si>
  <si>
    <t>Arriendo</t>
  </si>
  <si>
    <t>Cuenta Origen</t>
  </si>
  <si>
    <t>Cuenta Destino</t>
  </si>
  <si>
    <t>Tierras de Guri</t>
  </si>
  <si>
    <t>Mes</t>
  </si>
  <si>
    <t>Total</t>
  </si>
  <si>
    <t>Aplicacion Inicial Liquido</t>
  </si>
  <si>
    <t>Venenos y remedios</t>
  </si>
  <si>
    <t>Ingreso</t>
  </si>
  <si>
    <t>Valor ($)</t>
  </si>
  <si>
    <t>Aplicacion</t>
  </si>
  <si>
    <t>Insumos</t>
  </si>
  <si>
    <t/>
  </si>
  <si>
    <t>Precio unitario por día</t>
  </si>
  <si>
    <t>Totales</t>
  </si>
  <si>
    <t>Naranja X</t>
  </si>
  <si>
    <t>Agosto Gago</t>
  </si>
  <si>
    <t>Cantidad de días trabajados</t>
  </si>
  <si>
    <t>Sueldos</t>
  </si>
  <si>
    <t>Gastos</t>
  </si>
  <si>
    <t>Total * Cantidad dias trabajados</t>
  </si>
  <si>
    <t>Uber</t>
  </si>
  <si>
    <t>Agosto Fran</t>
  </si>
  <si>
    <t>Adelanto Sergio</t>
  </si>
  <si>
    <t xml:space="preserve">Adelanto Sergio </t>
  </si>
  <si>
    <t>Adelanto Alexis</t>
  </si>
  <si>
    <t>Total neto a cobrar</t>
  </si>
  <si>
    <t>Septiembre Fran</t>
  </si>
  <si>
    <t>Gastos varios, adelanto celu, milas y corte de pelo</t>
  </si>
  <si>
    <t>Gasto</t>
  </si>
  <si>
    <t>Septiembre Raul</t>
  </si>
  <si>
    <t>Todo</t>
  </si>
  <si>
    <t>Sueldo Septiembre</t>
  </si>
  <si>
    <t>Octubre Mama</t>
  </si>
  <si>
    <t xml:space="preserve">Octubre payo </t>
  </si>
  <si>
    <t>Transferencia Sergio</t>
  </si>
  <si>
    <t>Gastos Auto</t>
  </si>
  <si>
    <t>Jose Octubre</t>
  </si>
  <si>
    <t>Inversion</t>
  </si>
  <si>
    <t>Coadyudante</t>
  </si>
  <si>
    <t>Mochila Fumigar</t>
  </si>
  <si>
    <t>Transferencia Raul Suares Septtiembre</t>
  </si>
  <si>
    <t>Raul Octubre</t>
  </si>
  <si>
    <t>Pago Seguro Auto</t>
  </si>
  <si>
    <t>Fran Octubre</t>
  </si>
  <si>
    <t>Deuda Computadora</t>
  </si>
  <si>
    <t>Servicios</t>
  </si>
  <si>
    <t>Pago Cuota Regalo 1/2  Pamela Saravia</t>
  </si>
  <si>
    <t>Raul Noviembre</t>
  </si>
  <si>
    <t>Costo de grafica</t>
  </si>
  <si>
    <t>Bomba paso tranferencia</t>
  </si>
  <si>
    <t xml:space="preserve">Alexia debia a bomba </t>
  </si>
  <si>
    <t>Gastos Finde</t>
  </si>
  <si>
    <t>Trabajado Noviembre bomba</t>
  </si>
  <si>
    <t>Fran Noviembre</t>
  </si>
  <si>
    <t>Deuda restante</t>
  </si>
  <si>
    <t>Modulo Celular A02s</t>
  </si>
  <si>
    <t xml:space="preserve">Raul Adelanto Diciembre </t>
  </si>
  <si>
    <t xml:space="preserve">Bomba Diciembre </t>
  </si>
  <si>
    <t>Devolucion Cuota Bebe 2/3</t>
  </si>
  <si>
    <t>Prestamo</t>
  </si>
  <si>
    <t>Raul Diciembre</t>
  </si>
  <si>
    <t>Gastos Combustible</t>
  </si>
  <si>
    <t>Eg Prestamo</t>
  </si>
  <si>
    <t>Combustible</t>
  </si>
  <si>
    <t>Broder Enero</t>
  </si>
  <si>
    <t>Precio paleada</t>
  </si>
  <si>
    <t>Gastos Finde Semana</t>
  </si>
  <si>
    <t>Cantidad paleada</t>
  </si>
  <si>
    <t>Raul Enero</t>
  </si>
  <si>
    <t xml:space="preserve">Pago total de tarjeta Naranja X Cuotas </t>
  </si>
  <si>
    <t>Raul Febrero</t>
  </si>
  <si>
    <t>Tarjeta</t>
  </si>
  <si>
    <t>Payo Transferencia Trabajo 4 dias</t>
  </si>
  <si>
    <t>Broden Febrero</t>
  </si>
  <si>
    <t>Grafica deuda</t>
  </si>
  <si>
    <t>Adelanto Poma 2 Diciembre</t>
  </si>
  <si>
    <t xml:space="preserve">Papa transferencia </t>
  </si>
  <si>
    <t>Broden Marzo</t>
  </si>
  <si>
    <t xml:space="preserve">Mochila Para Fumigar </t>
  </si>
  <si>
    <t>Gago Marzo</t>
  </si>
  <si>
    <t>Eg San Isidro</t>
  </si>
  <si>
    <t>Bomba Abril</t>
  </si>
  <si>
    <t>Coadyudante Para fumigar</t>
  </si>
  <si>
    <t>Raul Abril</t>
  </si>
  <si>
    <t>adelanto molinos, fest and fiest</t>
  </si>
  <si>
    <t>Raul Mayo</t>
  </si>
  <si>
    <t>Papa Efectivo Prestamo</t>
  </si>
  <si>
    <t>Bomba Mayo</t>
  </si>
  <si>
    <t>Bomba Junio</t>
  </si>
  <si>
    <t>Jose Octubre 5 dias</t>
  </si>
  <si>
    <t>Raul Junio</t>
  </si>
  <si>
    <t>Luz Octubre</t>
  </si>
  <si>
    <t>Eg Alexis</t>
  </si>
  <si>
    <t>Papa Transferencia</t>
  </si>
  <si>
    <t>Marimar Motosierra</t>
  </si>
  <si>
    <t>Transferencia a efectivo</t>
  </si>
  <si>
    <t>Gastos Uber</t>
  </si>
  <si>
    <t>Eg Servicios</t>
  </si>
  <si>
    <t>Aplicacion Octubre</t>
  </si>
  <si>
    <t>Sueldo Alexis Guantay Mercado Pago</t>
  </si>
  <si>
    <t>Alexis</t>
  </si>
  <si>
    <t>Total Gastos</t>
  </si>
  <si>
    <t>Netfilx Noviembre</t>
  </si>
  <si>
    <t>Servicios Internet Claro</t>
  </si>
  <si>
    <t>Tarjeta Octubre</t>
  </si>
  <si>
    <t>Rendimiento Frasco</t>
  </si>
  <si>
    <t>Eg Tarjeta</t>
  </si>
  <si>
    <t>Frasco</t>
  </si>
  <si>
    <t>Raul Octubre 14 dias</t>
  </si>
  <si>
    <t>Sueldo Octubre Santa Clara</t>
  </si>
  <si>
    <t>Uber Finde Efectivo</t>
  </si>
  <si>
    <t>Uber Transferencia</t>
  </si>
  <si>
    <t>Devolucion Marimar Prestamos</t>
  </si>
  <si>
    <t>Eg Sueldos</t>
  </si>
  <si>
    <t>Sandwiches</t>
  </si>
  <si>
    <t>Pago Cuota Regalo 2/2  Pamela Saravia</t>
  </si>
  <si>
    <t>Cliente</t>
  </si>
  <si>
    <t>Cosechero</t>
  </si>
  <si>
    <t>Cantidad (bolsas)</t>
  </si>
  <si>
    <t>Precio Unit</t>
  </si>
  <si>
    <t>Uber Transferencia -BBVA</t>
  </si>
  <si>
    <t>Estado</t>
  </si>
  <si>
    <t>Chocobar</t>
  </si>
  <si>
    <t>Raul</t>
  </si>
  <si>
    <t>Ganancias frasco</t>
  </si>
  <si>
    <t>Transferencia Fran</t>
  </si>
  <si>
    <t>Cobrado</t>
  </si>
  <si>
    <t>Seguro Auto</t>
  </si>
  <si>
    <t>Gastos ex(via, com)</t>
  </si>
  <si>
    <t>Guido Inca</t>
  </si>
  <si>
    <t>Bebe Devolucion</t>
  </si>
  <si>
    <t>Caro Sueldo Noviembre</t>
  </si>
  <si>
    <t>Carolina</t>
  </si>
  <si>
    <t xml:space="preserve">Nafta </t>
  </si>
  <si>
    <t>Revesa</t>
  </si>
  <si>
    <t>Jorge Funes</t>
  </si>
  <si>
    <t>Entrada</t>
  </si>
  <si>
    <t>Concepto 2</t>
  </si>
  <si>
    <t>Viaje a Iruya</t>
  </si>
  <si>
    <t>Viajes</t>
  </si>
  <si>
    <t>Column 8</t>
  </si>
  <si>
    <t>Ing Devoluciones</t>
  </si>
  <si>
    <t>TotalIngresos</t>
  </si>
  <si>
    <t>Balance</t>
  </si>
  <si>
    <t>Frascos</t>
  </si>
  <si>
    <t>Luz Noviembre</t>
  </si>
  <si>
    <t>Aplicacion noviembre</t>
  </si>
  <si>
    <t>Sociedad</t>
  </si>
  <si>
    <t>cctubre</t>
  </si>
  <si>
    <t>Compras en Carrefout</t>
  </si>
  <si>
    <t xml:space="preserve">Rendimiento frasco </t>
  </si>
  <si>
    <t>Funes</t>
  </si>
  <si>
    <t>Domingo gastos</t>
  </si>
  <si>
    <t>Netflix</t>
  </si>
  <si>
    <t>Ing Trabajos Extras</t>
  </si>
  <si>
    <t>noviembre</t>
  </si>
  <si>
    <t>Chaves</t>
  </si>
  <si>
    <t>Ivan Inca</t>
  </si>
  <si>
    <t xml:space="preserve">Sueldo Carolo </t>
  </si>
  <si>
    <t>Facturas de Personal Noviembre dic</t>
  </si>
  <si>
    <t>Resumen Tarjeta de Credito</t>
  </si>
  <si>
    <t>diciembre</t>
  </si>
  <si>
    <t>Pago a cuche Raul Noviembre</t>
  </si>
  <si>
    <t>enero</t>
  </si>
  <si>
    <t>Internet Claro Noviembre</t>
  </si>
  <si>
    <t>Sueldo Santa CLara</t>
  </si>
  <si>
    <t>Chechu devolucion</t>
  </si>
  <si>
    <t>Extra</t>
  </si>
  <si>
    <t>Sergio Cervezas</t>
  </si>
  <si>
    <t>Cena Pollo Oscar</t>
  </si>
  <si>
    <t>Ubers tomado semanal</t>
  </si>
  <si>
    <t>ok</t>
  </si>
  <si>
    <t>Corte Pelo Bebe</t>
  </si>
  <si>
    <t>Ingreso SanIsidro</t>
  </si>
  <si>
    <t>Auto</t>
  </si>
  <si>
    <t>Internet Claro Diciembre</t>
  </si>
  <si>
    <t>Ingreso Consultoria</t>
  </si>
  <si>
    <t>Aguinaldo</t>
  </si>
  <si>
    <t>Lavadero</t>
  </si>
  <si>
    <t>Viajes Uber</t>
  </si>
  <si>
    <t>Amorsote Fiestas</t>
  </si>
  <si>
    <t>Uber Efectivo</t>
  </si>
  <si>
    <t>Sueldo Alexis Guantay Mercado Pago aguinaldo</t>
  </si>
  <si>
    <t>Total Ingresos</t>
  </si>
  <si>
    <t>Adelanto Noviembre Cuche</t>
  </si>
  <si>
    <t>Total egresos</t>
  </si>
  <si>
    <t>Ganancias Uber</t>
  </si>
  <si>
    <t>acumulado</t>
  </si>
  <si>
    <t>Carne Navidad</t>
  </si>
  <si>
    <t>Comodin</t>
  </si>
  <si>
    <t>Egresos Personales</t>
  </si>
  <si>
    <t>Pastillas y fernesardo</t>
  </si>
  <si>
    <t>Cena 26, chinchu y mara</t>
  </si>
  <si>
    <t>Prestamo a viejo</t>
  </si>
  <si>
    <t>Desayuno ´puches y mara</t>
  </si>
  <si>
    <t>Transferencia BBVA</t>
  </si>
  <si>
    <t xml:space="preserve">TOTAL = </t>
  </si>
  <si>
    <t xml:space="preserve">Refresco a la tarde </t>
  </si>
  <si>
    <t>Bebidas frescas</t>
  </si>
  <si>
    <t>Kilo de Suprema</t>
  </si>
  <si>
    <t>Premio de Hospital SC</t>
  </si>
  <si>
    <t>Pago de Resumen Tarjeta</t>
  </si>
  <si>
    <t>Pago arreglo Auto</t>
  </si>
  <si>
    <t>Verduras</t>
  </si>
  <si>
    <t>Chancho de año nuevo</t>
  </si>
  <si>
    <t>Gastos de año nuevo a efectivo</t>
  </si>
  <si>
    <t>Muni Seclantas  Carnet</t>
  </si>
  <si>
    <t>Dia 20 de junio</t>
  </si>
  <si>
    <t xml:space="preserve">Gastos Varios </t>
  </si>
  <si>
    <t>Pimiento</t>
  </si>
  <si>
    <t>594 kilos Primera</t>
  </si>
  <si>
    <t>47 segunda</t>
  </si>
  <si>
    <t>TioBroder Adelanto</t>
  </si>
  <si>
    <t>Diferencial aplicacion</t>
  </si>
  <si>
    <t xml:space="preserve">Total </t>
  </si>
  <si>
    <t>Prestamo a bebi</t>
  </si>
  <si>
    <t>Sueldo Alexis Enero</t>
  </si>
  <si>
    <t>Factura Personal</t>
  </si>
  <si>
    <t>Liquido 20 junio</t>
  </si>
  <si>
    <t>Rendimientos Frascos</t>
  </si>
  <si>
    <t xml:space="preserve">Comida </t>
  </si>
  <si>
    <t>Cuota Celu Oscar 1/6</t>
  </si>
  <si>
    <t>Frasco Diciembre</t>
  </si>
  <si>
    <t>TioBroder Diciembre</t>
  </si>
  <si>
    <t>Gago Diciembre</t>
  </si>
  <si>
    <t>uber 8 y 9</t>
  </si>
  <si>
    <t>Compra de Destornillador</t>
  </si>
  <si>
    <t>Compra de IAC</t>
  </si>
  <si>
    <t>Mantenimiento de bujias</t>
  </si>
  <si>
    <t>Liquidacion 9 jULIO</t>
  </si>
  <si>
    <t>Sueldo Diciembre Santa Clara</t>
  </si>
  <si>
    <t>Nena Pagar</t>
  </si>
  <si>
    <t xml:space="preserve">Raul </t>
  </si>
  <si>
    <t>Empanadas</t>
  </si>
  <si>
    <t>chocobar</t>
  </si>
  <si>
    <t>Remis</t>
  </si>
  <si>
    <t>Trabajos</t>
  </si>
  <si>
    <t>Cuche Gago</t>
  </si>
  <si>
    <t>Cuota CELU VIEJO 1/6</t>
  </si>
  <si>
    <t>Cervezas</t>
  </si>
  <si>
    <t>Arreglo Auto</t>
  </si>
  <si>
    <t>Inca</t>
  </si>
  <si>
    <t>Bebe Prestamo</t>
  </si>
  <si>
    <t>Viaje Salta</t>
  </si>
  <si>
    <t>transferencia</t>
  </si>
  <si>
    <t>Gestion de Tarjeta</t>
  </si>
  <si>
    <t>Pago Primero</t>
  </si>
  <si>
    <t>Viaje Salta -&gt; Seclantas</t>
  </si>
  <si>
    <t>Carne Sancarlos</t>
  </si>
  <si>
    <t>Fernet con Coca</t>
  </si>
  <si>
    <t>Gastos varios sanwi, menu, uber</t>
  </si>
  <si>
    <t>Cambio distribucion auto</t>
  </si>
  <si>
    <t>Total Bolsas</t>
  </si>
  <si>
    <t>Pablo camara sanson</t>
  </si>
  <si>
    <t>Vivi Prestamo</t>
  </si>
  <si>
    <t>Total Alexis</t>
  </si>
  <si>
    <t>Tranferencia bbva</t>
  </si>
  <si>
    <t>Gastos varios, 23,7</t>
  </si>
  <si>
    <t>Farmacia Modo</t>
  </si>
  <si>
    <t>Gastos varios 5, y 22mil</t>
  </si>
  <si>
    <t>transferencia 60 y 65 a alexis</t>
  </si>
  <si>
    <t xml:space="preserve"> Remise 32 * 3</t>
  </si>
  <si>
    <t>Trabajo</t>
  </si>
  <si>
    <t>Transferencia a alexis</t>
  </si>
  <si>
    <t>Abelino Comision</t>
  </si>
  <si>
    <t>Menu lunes</t>
  </si>
  <si>
    <t>Menu martes</t>
  </si>
  <si>
    <t>Duraznos Martes</t>
  </si>
  <si>
    <t>Menu Miercoles</t>
  </si>
  <si>
    <t>Choris Miercoles</t>
  </si>
  <si>
    <t>Higos y uber</t>
  </si>
  <si>
    <t>Tarjeta NX Enero</t>
  </si>
  <si>
    <t>Trans Concepto Prestamo entradas SC</t>
  </si>
  <si>
    <t>Celular y servicio</t>
  </si>
  <si>
    <t xml:space="preserve">Trans MP 9 Y 2 </t>
  </si>
  <si>
    <t>Transferencia Concepto Luz</t>
  </si>
  <si>
    <t>Claro Internet Enero</t>
  </si>
  <si>
    <t>Viviana Prestamos para vivir</t>
  </si>
  <si>
    <t>Sobras BBVA</t>
  </si>
  <si>
    <t>Entradas Cafayate</t>
  </si>
  <si>
    <t>Pasaje Marisa</t>
  </si>
  <si>
    <t>Sueldo Enero Santa Clara</t>
  </si>
  <si>
    <t>Transferencia sueldo Enero</t>
  </si>
  <si>
    <t>Adelanto Tio Broder</t>
  </si>
  <si>
    <t>RendimientoFracote</t>
  </si>
  <si>
    <t>Prestamo Zule cuota 2/6</t>
  </si>
  <si>
    <t>Menu de miercoles 11</t>
  </si>
  <si>
    <t>Compras sanwiches</t>
  </si>
  <si>
    <t>Menu Jueves 12</t>
  </si>
  <si>
    <t>Carne Cena con vivi y fer</t>
  </si>
  <si>
    <t>Nafta Carga</t>
  </si>
  <si>
    <t>Lentes Mara</t>
  </si>
  <si>
    <t>Chilo Karin</t>
  </si>
  <si>
    <t>Entradas viajes Salta Seclantas</t>
  </si>
  <si>
    <t>Gastos Carnaval 14/02</t>
  </si>
  <si>
    <t>Entrada Transferencia Cebollas SI</t>
  </si>
  <si>
    <t>Entrada En efectivo Cebolla</t>
  </si>
  <si>
    <t>Pago Bomba</t>
  </si>
  <si>
    <t>Devolucion Lopez</t>
  </si>
  <si>
    <t>Pago Cuche</t>
  </si>
  <si>
    <t>Gustavo tranferencia</t>
  </si>
  <si>
    <t xml:space="preserve">Ramon rifas </t>
  </si>
  <si>
    <t>Puchechuentrada</t>
  </si>
  <si>
    <t xml:space="preserve">Tranferencia DIFERENCIAL </t>
  </si>
  <si>
    <t xml:space="preserve">Pailas y demas </t>
  </si>
  <si>
    <t>Entrada De dinero</t>
  </si>
  <si>
    <t>Empanadas con Caro a las 12</t>
  </si>
  <si>
    <t>Cervezas Boca Juniors</t>
  </si>
  <si>
    <t>Gaseosa en Confi</t>
  </si>
  <si>
    <t>Chuletas aimara</t>
  </si>
  <si>
    <t>Nafta</t>
  </si>
  <si>
    <t>Remiseada a Cafayate</t>
  </si>
  <si>
    <t>Entradas San Isidro</t>
  </si>
  <si>
    <t>Entradas y jodas en cafayate</t>
  </si>
  <si>
    <t xml:space="preserve">Pago Broder </t>
  </si>
  <si>
    <t>Gago deuda</t>
  </si>
  <si>
    <t>Extraccion</t>
  </si>
  <si>
    <t>Gustavo Ades</t>
  </si>
  <si>
    <t>Ganancias diaria</t>
  </si>
  <si>
    <t>Ingreso San Isidro</t>
  </si>
  <si>
    <t>Devolucion Alexis</t>
  </si>
  <si>
    <t>Pago Naranja X Febrero</t>
  </si>
  <si>
    <t>Sanwi Noche</t>
  </si>
  <si>
    <t xml:space="preserve">Carolina Entradas </t>
  </si>
  <si>
    <t>Nafta Auto</t>
  </si>
  <si>
    <t>Rendimiento Frasco Febrero</t>
  </si>
  <si>
    <t>Claro Marzo</t>
  </si>
  <si>
    <t>Personal Febrero</t>
  </si>
  <si>
    <t>Sueldo Febrero</t>
  </si>
  <si>
    <t>Pago Febrero TioBroder</t>
  </si>
  <si>
    <t>Pago Febrero Raul</t>
  </si>
  <si>
    <t>Zulema Pago 3/6</t>
  </si>
  <si>
    <t xml:space="preserve">Pago a Persona SOlidaridad </t>
  </si>
  <si>
    <t>Prestamo excurtise</t>
  </si>
  <si>
    <t>Empanadas con bebe 12</t>
  </si>
  <si>
    <t>Nenuchi efectivo</t>
  </si>
  <si>
    <t>Transferencia Cebolla Inversion</t>
  </si>
  <si>
    <t>Pago Luz y agua</t>
  </si>
  <si>
    <t>Carolina Sueldo marzo</t>
  </si>
  <si>
    <t>Roman Computadora</t>
  </si>
  <si>
    <t>Compra de Dolares</t>
  </si>
  <si>
    <t>Transferencia</t>
  </si>
  <si>
    <t>Dolares</t>
  </si>
  <si>
    <t>Prestamo Mariamar</t>
  </si>
  <si>
    <t>Carga de Combustible quitando los rendimientos</t>
  </si>
  <si>
    <t>Pago en efectivo</t>
  </si>
  <si>
    <t>Compra de dolares + efectivo para el dia a dia</t>
  </si>
  <si>
    <t>Diferencial</t>
  </si>
  <si>
    <t>Plata en transferencia</t>
  </si>
  <si>
    <t>Jugo Ades</t>
  </si>
  <si>
    <t>Prestamo vivi</t>
  </si>
  <si>
    <t>Transferencia Guido Inca</t>
  </si>
  <si>
    <t>Transferencia Debia papa</t>
  </si>
  <si>
    <t>Janet Recarga</t>
  </si>
  <si>
    <t>Transferencia Nena</t>
  </si>
  <si>
    <t>Nasta</t>
  </si>
  <si>
    <t>Pago transferencia</t>
  </si>
  <si>
    <t>Pago Efectivo</t>
  </si>
  <si>
    <t>Pago Cervezas</t>
  </si>
  <si>
    <t>Gastos Sanwis mas cerveza</t>
  </si>
  <si>
    <t>Transferencia Guta Plata</t>
  </si>
  <si>
    <t>Transferencia Miel Y mistela Chechu</t>
  </si>
  <si>
    <t>Caro Rosca</t>
  </si>
  <si>
    <t>2 Cervezas Pancho Maita</t>
  </si>
  <si>
    <t xml:space="preserve">Fabiana y jorge rumagnoli y guta </t>
  </si>
  <si>
    <t>Pago Bomba Marzo efectivo</t>
  </si>
  <si>
    <t>Pago Bomba Transferencia Echa por la Mari, recibo yo en efectivo</t>
  </si>
  <si>
    <t>Zulema Suarez 4/6</t>
  </si>
  <si>
    <t>Sueldo Leki</t>
  </si>
  <si>
    <t>Frasco abril</t>
  </si>
  <si>
    <t>Sueldo Gago diciembre</t>
  </si>
  <si>
    <t>Tarjeta NX Marzo</t>
  </si>
  <si>
    <t>Pago de Personal</t>
  </si>
  <si>
    <t>Pago de Claro</t>
  </si>
  <si>
    <t>Pago de Brother Marzo, janet devolucion del efectivo</t>
  </si>
  <si>
    <t>Pago de Sueldo</t>
  </si>
  <si>
    <t>BBVA</t>
  </si>
  <si>
    <t>Transferencia a Naranja</t>
  </si>
  <si>
    <t>Transferencias</t>
  </si>
  <si>
    <t>Pago de Lentes de Pinchu</t>
  </si>
  <si>
    <t>Chuma Prestamo</t>
  </si>
  <si>
    <t>Prestamos</t>
  </si>
  <si>
    <t>Arreglo de Goma Marca</t>
  </si>
  <si>
    <t>Prestamo Ramon Guantay</t>
  </si>
  <si>
    <t>Rifa Guardia</t>
  </si>
  <si>
    <t>Devolucion Bebe</t>
  </si>
  <si>
    <t>Almuerzo Comida</t>
  </si>
  <si>
    <t>Gomas Nuevas Auto</t>
  </si>
  <si>
    <t>Gastos Varios Sabado</t>
  </si>
  <si>
    <t>Gastos de Mercado Pago</t>
  </si>
  <si>
    <t>Rosa y Gaseosa</t>
  </si>
  <si>
    <t>Carolina Sueldini</t>
  </si>
  <si>
    <t>Aplicacion y ganancias de NX</t>
  </si>
  <si>
    <t>trabajo</t>
  </si>
  <si>
    <t>Chat Gpt Plus</t>
  </si>
  <si>
    <t>Recarga Uber</t>
  </si>
  <si>
    <t>Pago de Choris Cena</t>
  </si>
  <si>
    <t>Perfume Anticipo 1/2</t>
  </si>
  <si>
    <t xml:space="preserve">Menu Jueves  </t>
  </si>
  <si>
    <t>Arreglos de Baño Cañerias</t>
  </si>
  <si>
    <t>Santiago</t>
  </si>
  <si>
    <t>Arreglo Ducha</t>
  </si>
  <si>
    <t>Ducha</t>
  </si>
  <si>
    <t>Bebe me paso</t>
  </si>
  <si>
    <t>Trueque</t>
  </si>
  <si>
    <t>Efectivo</t>
  </si>
  <si>
    <t>Paso para Bebe transferencia</t>
  </si>
  <si>
    <t>Gastos gaseosas y Cervezas</t>
  </si>
  <si>
    <t>Gastos a Mercado Pago</t>
  </si>
  <si>
    <t>Conversion A naranja efectivo</t>
  </si>
  <si>
    <t>Cuota folklore</t>
  </si>
  <si>
    <t>Pastillas refrianez</t>
  </si>
  <si>
    <t>Mercado es pago para uber</t>
  </si>
  <si>
    <t>Papa transferencia cuota 250/1000</t>
  </si>
  <si>
    <t>Prestamo Sergio</t>
  </si>
  <si>
    <t>Pago de Productos Transferancia 1mill</t>
  </si>
  <si>
    <t>Pago de Productos Transferencia 500</t>
  </si>
  <si>
    <t>Paso a Sergio para cancelar Acoplado</t>
  </si>
  <si>
    <t>Seguro Del auto</t>
  </si>
  <si>
    <t>Agasajo</t>
  </si>
  <si>
    <t>Nafta autote</t>
  </si>
  <si>
    <t>Devolucion 2/4 y 3/4</t>
  </si>
  <si>
    <t>Me paso Puches</t>
  </si>
  <si>
    <t>Asabacho y devolucion bochedad</t>
  </si>
  <si>
    <t>Gaseosas</t>
  </si>
  <si>
    <t>Tarjeta Naranja Abril</t>
  </si>
  <si>
    <t>Gastos en Choris y panchos</t>
  </si>
  <si>
    <t>Pistola Puchechu</t>
  </si>
  <si>
    <t>Bebe Cuota 3/4</t>
  </si>
  <si>
    <t>Mari Cuota Impresora</t>
  </si>
  <si>
    <t>Salida Dia trabajo mas baile</t>
  </si>
  <si>
    <t>Pago Personal FLOW</t>
  </si>
  <si>
    <t>Claro Internet Abril</t>
  </si>
  <si>
    <t>Gastos uber semanal mas cuota de MP</t>
  </si>
  <si>
    <t>Sueldo Santa Clara</t>
  </si>
  <si>
    <t>Pago chat gpt</t>
  </si>
  <si>
    <t>Transferencia Efectivo a Nx</t>
  </si>
  <si>
    <t>Transferencia a Dolares Fisicos</t>
  </si>
  <si>
    <t>Bebe Devolucion efectivo</t>
  </si>
  <si>
    <t>Pago A tio broderazo</t>
  </si>
  <si>
    <t xml:space="preserve">Pago de Cebollas </t>
  </si>
  <si>
    <t>Entrada de Sanwis</t>
  </si>
  <si>
    <t>Pago cuota Zulema  5/6</t>
  </si>
  <si>
    <t>Gastos De sanwi de Vodka etc gaseosa</t>
  </si>
  <si>
    <t>Transferencia prestamo Teresa</t>
  </si>
  <si>
    <t>Rendimiento Frasco Abril</t>
  </si>
  <si>
    <t>cumple vicky</t>
  </si>
  <si>
    <t>Pago a Pame Saravia cuota de 2/2</t>
  </si>
  <si>
    <t>Pase a Uber</t>
  </si>
  <si>
    <t>Carolino</t>
  </si>
  <si>
    <t>Alfajores</t>
  </si>
  <si>
    <t>Remera de bebe</t>
  </si>
  <si>
    <t>Cine Hoyz</t>
  </si>
  <si>
    <t>Combuustible</t>
  </si>
  <si>
    <t>Pastillas Marisa</t>
  </si>
  <si>
    <t>Papa devolucion</t>
  </si>
  <si>
    <t>Pago de Cebollas en efectivo</t>
  </si>
  <si>
    <t>Bebe devolucion cuota</t>
  </si>
  <si>
    <t>Gastos la grande</t>
  </si>
  <si>
    <t>Aplicacion en efectivo</t>
  </si>
  <si>
    <t>Pago de rifa y cumple alicia</t>
  </si>
  <si>
    <t>Transferencia San Isidro</t>
  </si>
  <si>
    <t>Efectivo san isidro aplicacion de liquidacion</t>
  </si>
  <si>
    <t>Efectivo de Sanisidro</t>
  </si>
  <si>
    <t>Gastos en cumple ma, joda san isidro</t>
  </si>
  <si>
    <t>Gastos puchechus</t>
  </si>
  <si>
    <t>Chat gpt Plus</t>
  </si>
  <si>
    <t>Tinder</t>
  </si>
  <si>
    <t>Pasaje a BBVA</t>
  </si>
  <si>
    <t>Compra dolares</t>
  </si>
  <si>
    <t>Pago de Asado</t>
  </si>
  <si>
    <t>Zulema Suarez</t>
  </si>
  <si>
    <t>Asadote transferido</t>
  </si>
  <si>
    <t>Colaboracion Aasado</t>
  </si>
  <si>
    <t>Gym</t>
  </si>
  <si>
    <t>Ana Gudino</t>
  </si>
  <si>
    <t>Mercado Pago</t>
  </si>
  <si>
    <t>Internet Claro</t>
  </si>
  <si>
    <t>Transferencia BBVA NAranja</t>
  </si>
  <si>
    <t>Pago de Personal Flow</t>
  </si>
  <si>
    <t>Gastos Semana</t>
  </si>
  <si>
    <t>Seguro auto</t>
  </si>
  <si>
    <t>Sanwi Chechu</t>
  </si>
  <si>
    <t>Frigo Salta Asado</t>
  </si>
  <si>
    <t>Tipbroder adelanto 10mil</t>
  </si>
  <si>
    <t>Carolo y ademas Uber</t>
  </si>
  <si>
    <t>Totales y balance</t>
  </si>
  <si>
    <t>Pase a chechu</t>
  </si>
  <si>
    <t>Naranja X tarjeta</t>
  </si>
  <si>
    <t>Pago a Raul Suares</t>
  </si>
  <si>
    <t>Mariamar</t>
  </si>
  <si>
    <t>Sergio Devolucion</t>
  </si>
  <si>
    <t>ubers</t>
  </si>
  <si>
    <t>Frasco Mayo</t>
  </si>
  <si>
    <t>Broder Mayo</t>
  </si>
  <si>
    <t>Servi mas arreglo</t>
  </si>
  <si>
    <t>Pago de Inca</t>
  </si>
  <si>
    <t>Luisa Rifas</t>
  </si>
  <si>
    <t>Gustavo Compra de cosas</t>
  </si>
  <si>
    <t xml:space="preserve">Guty y mariana en 20 cada uno </t>
  </si>
  <si>
    <t>Cervezas Tiosbroder</t>
  </si>
  <si>
    <t>Mari y guta en sanwis</t>
  </si>
  <si>
    <t>Fiambres</t>
  </si>
  <si>
    <t>Pago de Cebolla</t>
  </si>
  <si>
    <t>Pago de Arrriendo Ramirez</t>
  </si>
  <si>
    <t>Pago de Arriendo Mario Cruz</t>
  </si>
  <si>
    <t>Gastos finde largo</t>
  </si>
  <si>
    <t>Gastos de Choris</t>
  </si>
  <si>
    <t>Devolucion bebe</t>
  </si>
  <si>
    <t>Pago Moro</t>
  </si>
  <si>
    <t>Pago Cebolla Transferencua</t>
  </si>
  <si>
    <t>Gastos de combustible</t>
  </si>
  <si>
    <t>Gastos de Asado</t>
  </si>
  <si>
    <t>Gastos de Efectivo, libreria</t>
  </si>
  <si>
    <t>Gastos de zapas de papa</t>
  </si>
  <si>
    <t>Gastos en Hospital</t>
  </si>
  <si>
    <t>Aplicativo de Efectivo</t>
  </si>
  <si>
    <t>Aplicacion de Naranja X</t>
  </si>
  <si>
    <t>Pago de Cebolla y de Pimiento</t>
  </si>
  <si>
    <t>Gastotes</t>
  </si>
  <si>
    <t>Gastos Efectivo</t>
  </si>
  <si>
    <t>Ingresos de transferencia</t>
  </si>
  <si>
    <t>Puches</t>
  </si>
  <si>
    <t>Sanwis</t>
  </si>
  <si>
    <t>Ayuda con comida</t>
  </si>
  <si>
    <t>Pago de Tarjeta</t>
  </si>
  <si>
    <t>Pago de Internet</t>
  </si>
  <si>
    <t>Pago de Seguro</t>
  </si>
  <si>
    <t>Trabajo Salta Polo</t>
  </si>
  <si>
    <t>Consultoria</t>
  </si>
  <si>
    <t>Efectivo a transferencia</t>
  </si>
  <si>
    <t>Gastos Pollo</t>
  </si>
  <si>
    <t>Gimnasio</t>
  </si>
  <si>
    <t>Plata de Transferencia San Isidro</t>
  </si>
  <si>
    <t>Efectivo Recibido el 9</t>
  </si>
  <si>
    <t>Chechu</t>
  </si>
  <si>
    <t>Paso a vidai ayudando a vidai Estufota</t>
  </si>
  <si>
    <t>Gastos Fulbo y uber</t>
  </si>
  <si>
    <t>Estufa</t>
  </si>
  <si>
    <t>Lavado de auto Profundo</t>
  </si>
  <si>
    <t xml:space="preserve">Efectivo </t>
  </si>
  <si>
    <t>Gastos COmbustibles</t>
  </si>
  <si>
    <t>Chanchito al diome</t>
  </si>
  <si>
    <t>Tranferencia a Naranja X</t>
  </si>
  <si>
    <t>Gastos de Auto</t>
  </si>
  <si>
    <t>Pase de BBVA</t>
  </si>
  <si>
    <t>Pase deNaranja a efectivo</t>
  </si>
  <si>
    <t>Gasto de Naranja X</t>
  </si>
  <si>
    <t>Pago TioBroder</t>
  </si>
  <si>
    <t>Carolo</t>
  </si>
  <si>
    <t>Combustible el 8</t>
  </si>
  <si>
    <t>Aplicacion Efectivo</t>
  </si>
  <si>
    <t>Pago X Julio</t>
  </si>
  <si>
    <t>Trassferencia de bbva a Nx</t>
  </si>
  <si>
    <t>Transferencia vivi</t>
  </si>
  <si>
    <t>Prestamotes</t>
  </si>
  <si>
    <t>Viviana</t>
  </si>
  <si>
    <t>Aplicacion BBVA</t>
  </si>
  <si>
    <t>Pagoraulazo</t>
  </si>
  <si>
    <t>Devolucion Santiago</t>
  </si>
  <si>
    <t>Pago De Luz</t>
  </si>
  <si>
    <t>Ganancias de Tarjeta</t>
  </si>
  <si>
    <t>De pesos A naranja</t>
  </si>
  <si>
    <t>Transferencia de Pesos A Naranja X</t>
  </si>
  <si>
    <t>Gastos Varios</t>
  </si>
  <si>
    <t>De Efectivo a MP</t>
  </si>
  <si>
    <t>Pago a personal</t>
  </si>
  <si>
    <t>Gastos Varios Naranja X</t>
  </si>
  <si>
    <t>Gastos Mp Uber, gastos etc</t>
  </si>
  <si>
    <t>Gastos de punches, vivir, gastos etc</t>
  </si>
  <si>
    <t>Pachacho viejo ayuda</t>
  </si>
  <si>
    <t>Pago a Gago de Paleada</t>
  </si>
  <si>
    <t>De levadura guta efectivo pague, el transfirio</t>
  </si>
  <si>
    <t>Gastos varios</t>
  </si>
  <si>
    <t>Fernuli</t>
  </si>
  <si>
    <t>Vivi devolucion</t>
  </si>
  <si>
    <t>Transferencia a BBVA</t>
  </si>
  <si>
    <t>Pago de Resumen Naranja X</t>
  </si>
  <si>
    <t>Vivi armado PC</t>
  </si>
  <si>
    <t>Polo amorsuchi recarga</t>
  </si>
  <si>
    <t>Pago claro Internet</t>
  </si>
  <si>
    <t>Asado de chanchote</t>
  </si>
  <si>
    <t>Verduras y frutas</t>
  </si>
  <si>
    <t xml:space="preserve">Lavado de Auto  </t>
  </si>
  <si>
    <t>Transferencia BBVA a Naranja X</t>
  </si>
  <si>
    <t>Pago de Tierras Guri 2027</t>
  </si>
  <si>
    <t>Págo de tierras Guri 2027</t>
  </si>
  <si>
    <t>Garpe de Sanwi y Bolso de la polo</t>
  </si>
  <si>
    <t>Pago de disney</t>
  </si>
  <si>
    <t>Pago de Canva</t>
  </si>
  <si>
    <t>Pago de Trabajo en Salta Polo</t>
  </si>
  <si>
    <t>Pago a carolo</t>
  </si>
  <si>
    <t>Carga de combustible</t>
  </si>
  <si>
    <t>Extraccion de deposito</t>
  </si>
  <si>
    <t>Cambio de dolares</t>
  </si>
  <si>
    <t>Pago de Servicios Luz agua</t>
  </si>
  <si>
    <t>Entrada entrance</t>
  </si>
  <si>
    <t>Pase de Efectivo a NADA</t>
  </si>
  <si>
    <t>Gastos varios Seclantas</t>
  </si>
  <si>
    <t>Compra de Utiles</t>
  </si>
  <si>
    <t>Cambio de Efectivo a transferencia</t>
  </si>
  <si>
    <t>Deje al viejo 1 palo para la caja san isidro</t>
  </si>
  <si>
    <t>CajaSI</t>
  </si>
  <si>
    <t>Aplicacion para nivelar</t>
  </si>
  <si>
    <t>Transferencia de efectivo a NX</t>
  </si>
  <si>
    <t>Ayuda a Mari</t>
  </si>
  <si>
    <t>Trabajos consultoria</t>
  </si>
  <si>
    <t>Software</t>
  </si>
  <si>
    <t>Compra en carniceria</t>
  </si>
  <si>
    <t>Corte de pelo y birras</t>
  </si>
  <si>
    <t>Gastos de Super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</si>
</sst>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m\ 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rgb="FFFFFFFF"/>
      <name val="Arial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E8971"/>
        <bgColor rgb="FFFE8971"/>
      </patternFill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2" borderId="0" xfId="0" applyFont="1" applyFill="1"/>
    <xf numFmtId="4" fontId="1" fillId="2" borderId="0" xfId="0" applyNumberFormat="1" applyFont="1" applyFill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" fillId="3" borderId="0" xfId="0" applyFont="1" applyFill="1"/>
    <xf numFmtId="4" fontId="1" fillId="3" borderId="0" xfId="0" applyNumberFormat="1" applyFont="1" applyFill="1" applyAlignment="1">
      <alignment horizontal="right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14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0" fontId="3" fillId="4" borderId="0" xfId="0" applyFont="1" applyFill="1"/>
    <xf numFmtId="0" fontId="1" fillId="5" borderId="0" xfId="0" applyFont="1" applyFill="1"/>
    <xf numFmtId="4" fontId="1" fillId="5" borderId="0" xfId="0" applyNumberFormat="1" applyFont="1" applyFill="1" applyAlignment="1">
      <alignment horizontal="right"/>
    </xf>
    <xf numFmtId="0" fontId="2" fillId="4" borderId="0" xfId="0" applyFont="1" applyFill="1"/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6" fillId="6" borderId="0" xfId="0" applyFont="1" applyFill="1"/>
    <xf numFmtId="4" fontId="6" fillId="6" borderId="0" xfId="0" applyNumberFormat="1" applyFont="1" applyFill="1" applyAlignment="1">
      <alignment horizontal="right"/>
    </xf>
    <xf numFmtId="4" fontId="1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2" fillId="7" borderId="0" xfId="0" applyFont="1" applyFill="1"/>
    <xf numFmtId="0" fontId="2" fillId="2" borderId="0" xfId="0" applyFont="1" applyFill="1"/>
    <xf numFmtId="0" fontId="2" fillId="8" borderId="0" xfId="0" applyFont="1" applyFill="1" applyAlignment="1">
      <alignment vertical="center"/>
    </xf>
    <xf numFmtId="0" fontId="7" fillId="8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2" fillId="9" borderId="0" xfId="0" applyFont="1" applyFill="1"/>
  </cellXfs>
  <cellStyles count="1">
    <cellStyle name="Normal" xfId="0" builtinId="0"/>
  </cellStyles>
  <dxfs count="8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B7E1CD"/>
          <bgColor rgb="FFB7E1CD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D0E0E3"/>
          <bgColor rgb="FFD0E0E3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8">
    <tableStyle name="San Isidro-style" pivot="0" count="5" xr9:uid="{00000000-0011-0000-FFFF-FFFF00000000}">
      <tableStyleElement type="wholeTable" size="0" dxfId="81"/>
      <tableStyleElement type="headerRow" dxfId="85"/>
      <tableStyleElement type="totalRow" dxfId="82"/>
      <tableStyleElement type="firstRowStripe" dxfId="84"/>
      <tableStyleElement type="secondRowStripe" dxfId="83"/>
    </tableStyle>
    <tableStyle name="Contable-style" pivot="0" count="5" xr9:uid="{00000000-0011-0000-FFFF-FFFF01000000}">
      <tableStyleElement type="wholeTable" size="0" dxfId="76"/>
      <tableStyleElement type="headerRow" dxfId="80"/>
      <tableStyleElement type="totalRow" dxfId="77"/>
      <tableStyleElement type="firstRowStripe" dxfId="79"/>
      <tableStyleElement type="secondRowStripe" dxfId="78"/>
    </tableStyle>
    <tableStyle name="Liquidacion Sueldos-style" pivot="0" count="4" xr9:uid="{00000000-0011-0000-FFFF-FFFF02000000}">
      <tableStyleElement type="wholeTable" size="0" dxfId="72"/>
      <tableStyleElement type="headerRow" dxfId="75"/>
      <tableStyleElement type="firstRowStripe" dxfId="74"/>
      <tableStyleElement type="secondRowStripe" dxfId="73"/>
    </tableStyle>
    <tableStyle name="Contable-style 2" pivot="0" count="5" xr9:uid="{00000000-0011-0000-FFFF-FFFF03000000}">
      <tableStyleElement type="wholeTable" size="0" dxfId="67"/>
      <tableStyleElement type="headerRow" dxfId="71"/>
      <tableStyleElement type="totalRow" dxfId="68"/>
      <tableStyleElement type="firstRowStripe" dxfId="70"/>
      <tableStyleElement type="secondRowStripe" dxfId="69"/>
    </tableStyle>
    <tableStyle name="Liquidacion Sueldos-style 2" pivot="0" count="4" xr9:uid="{00000000-0011-0000-FFFF-FFFF04000000}">
      <tableStyleElement type="wholeTable" size="0" dxfId="63"/>
      <tableStyleElement type="headerRow" dxfId="66"/>
      <tableStyleElement type="firstRowStripe" dxfId="65"/>
      <tableStyleElement type="secondRowStripe" dxfId="64"/>
    </tableStyle>
    <tableStyle name="Liquidacion Sueldos-style 3" pivot="0" count="4" xr9:uid="{00000000-0011-0000-FFFF-FFFF05000000}">
      <tableStyleElement type="wholeTable" size="0" dxfId="59"/>
      <tableStyleElement type="headerRow" dxfId="62"/>
      <tableStyleElement type="firstRowStripe" dxfId="61"/>
      <tableStyleElement type="secondRowStripe" dxfId="60"/>
    </tableStyle>
    <tableStyle name="Liquidacion Sueldos-style 4" pivot="0" count="4" xr9:uid="{00000000-0011-0000-FFFF-FFFF06000000}">
      <tableStyleElement type="wholeTable" size="0" dxfId="55"/>
      <tableStyleElement type="headerRow" dxfId="58"/>
      <tableStyleElement type="firstRowStripe" dxfId="57"/>
      <tableStyleElement type="secondRowStripe" dxfId="56"/>
    </tableStyle>
    <tableStyle name="Liquidacion Sueldos-style 5" pivot="0" count="4" xr9:uid="{00000000-0011-0000-FFFF-FFFF07000000}">
      <tableStyleElement type="wholeTable" size="0" dxfId="51"/>
      <tableStyleElement type="headerRow" dxfId="54"/>
      <tableStyleElement type="firstRowStripe" dxfId="53"/>
      <tableStyleElement type="secondRowStripe" dxfId="52"/>
    </tableStyle>
    <tableStyle name="Liquidacion Sueldos-style 6" pivot="0" count="4" xr9:uid="{00000000-0011-0000-FFFF-FFFF08000000}">
      <tableStyleElement type="wholeTable" size="0" dxfId="47"/>
      <tableStyleElement type="headerRow" dxfId="50"/>
      <tableStyleElement type="firstRowStripe" dxfId="49"/>
      <tableStyleElement type="secondRowStripe" dxfId="48"/>
    </tableStyle>
    <tableStyle name="Liquidacion Sueldos-style 7" pivot="0" count="4" xr9:uid="{00000000-0011-0000-FFFF-FFFF09000000}">
      <tableStyleElement type="wholeTable" size="0" dxfId="43"/>
      <tableStyleElement type="headerRow" dxfId="46"/>
      <tableStyleElement type="firstRowStripe" dxfId="45"/>
      <tableStyleElement type="secondRowStripe" dxfId="44"/>
    </tableStyle>
    <tableStyle name="Liquidacion Sueldos-style 8" pivot="0" count="4" xr9:uid="{00000000-0011-0000-FFFF-FFFF0A000000}">
      <tableStyleElement type="wholeTable" size="0" dxfId="39"/>
      <tableStyleElement type="headerRow" dxfId="42"/>
      <tableStyleElement type="firstRowStripe" dxfId="41"/>
      <tableStyleElement type="secondRowStripe" dxfId="40"/>
    </tableStyle>
    <tableStyle name="Liquidacion Sueldos-style 9" pivot="0" count="4" xr9:uid="{00000000-0011-0000-FFFF-FFFF0B000000}">
      <tableStyleElement type="wholeTable" size="0" dxfId="35"/>
      <tableStyleElement type="headerRow" dxfId="38"/>
      <tableStyleElement type="firstRowStripe" dxfId="37"/>
      <tableStyleElement type="secondRowStripe" dxfId="36"/>
    </tableStyle>
    <tableStyle name="Liquidacion Sueldos-style 10" pivot="0" count="4" xr9:uid="{00000000-0011-0000-FFFF-FFFF0C000000}">
      <tableStyleElement type="wholeTable" size="0" dxfId="31"/>
      <tableStyleElement type="headerRow" dxfId="34"/>
      <tableStyleElement type="firstRowStripe" dxfId="33"/>
      <tableStyleElement type="secondRowStripe" dxfId="32"/>
    </tableStyle>
    <tableStyle name="Liquidacion Sueldos-style 11" pivot="0" count="4" xr9:uid="{00000000-0011-0000-FFFF-FFFF0D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Liquidacion Sueldos-style 12" pivot="0" count="4" xr9:uid="{00000000-0011-0000-FFFF-FFFF0E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Liquidacion Sueldos-style 13" pivot="0" count="4" xr9:uid="{00000000-0011-0000-FFFF-FFFF0F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Produccion-style" pivot="0" count="5" xr9:uid="{00000000-0011-0000-FFFF-FFFF10000000}">
      <tableStyleElement type="wholeTable" size="0" dxfId="14"/>
      <tableStyleElement type="headerRow" dxfId="18"/>
      <tableStyleElement type="totalRow" dxfId="15"/>
      <tableStyleElement type="firstRowStripe" dxfId="17"/>
      <tableStyleElement type="secondRowStripe" dxfId="16"/>
    </tableStyle>
    <tableStyle name="Finanzas-style" pivot="0" count="5" xr9:uid="{00000000-0011-0000-FFFF-FFFF11000000}">
      <tableStyleElement type="wholeTable" size="0" dxfId="9"/>
      <tableStyleElement type="headerRow" dxfId="13"/>
      <tableStyleElement type="totalRow" dxfId="10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persons/person.xml><?xml version="1.0" encoding="utf-8"?>
<x18tc:personList xmlns:x18tc="http://schemas.microsoft.com/office/spreadsheetml/2018/threadedcomments">
  <x18tc:person displayName="Alexis G" id="{f977c6ff-ac0c-4b25-9361-08b563502b79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inanzas" displayName="Finanzas" ref="A1:I534" totalsRowCount="1">
  <autoFilter ref="A1:I533" xr:uid="{00000000-0009-0000-0100-000002000000}"/>
  <tableColumns count="9">
    <tableColumn id="1" xr3:uid="{00000000-0010-0000-0000-000001000000}" name="Fecha" totalsRowDxfId="7"/>
    <tableColumn id="2" xr3:uid="{00000000-0010-0000-0000-000002000000}" name="Descripcion" totalsRowDxfId="6"/>
    <tableColumn id="3" xr3:uid="{00000000-0010-0000-0000-000003000000}" name="Tipo Movimiento" totalsRowDxfId="5"/>
    <tableColumn id="4" xr3:uid="{00000000-0010-0000-0000-000004000000}" name="Monto" totalsRowDxfId="4"/>
    <tableColumn id="5" xr3:uid="{00000000-0010-0000-0000-000005000000}" name="Categoria" totalsRowDxfId="3"/>
    <tableColumn id="6" xr3:uid="{00000000-0010-0000-0000-000006000000}" name="Cuenta Origen" totalsRowDxfId="2"/>
    <tableColumn id="7" xr3:uid="{00000000-0010-0000-0000-000007000000}" name="Cuenta Destino" totalsRowDxfId="1"/>
    <tableColumn id="8" xr3:uid="{00000000-0010-0000-0000-000008000000}" name="Mes" totalsRowDxfId="0"/>
    <tableColumn id="9" xr3:uid="{00000000-0010-0000-0000-000009000000}" name="Total"/>
  </tableColumns>
  <tableStyleInfo name="Contab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San_Isidro" displayName="San_Isidro" ref="A2:E47" totalsRowCount="1">
  <autoFilter ref="A2:E46" xr:uid="{00000000-0009-0000-0100-000001000000}"/>
  <tableColumns count="5">
    <tableColumn id="1" xr3:uid="{00000000-0010-0000-0200-000001000000}" name="Concepto" totalsRowLabel="Total Gastos"/>
    <tableColumn id="2" xr3:uid="{00000000-0010-0000-0200-000002000000}" name="Pagos" totalsRowFunction="custom">
      <totalsRowFormula>SUM(San_Isidro[Pagos])</totalsRowFormula>
    </tableColumn>
    <tableColumn id="3" xr3:uid="{00000000-0010-0000-0200-000003000000}" name="Fecha"/>
    <tableColumn id="4" xr3:uid="{00000000-0010-0000-0200-000004000000}" name="Tipo"/>
    <tableColumn id="5" xr3:uid="{00000000-0010-0000-0200-000005000000}" name="Columna 1"/>
  </tableColumns>
  <tableStyleInfo name="San Isidr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Septiembre_TIOBRODER" displayName="Septiembre_TIOBRODER" ref="A2:B8">
  <tableColumns count="2">
    <tableColumn id="1" xr3:uid="{00000000-0010-0000-0300-000001000000}" name="Concepto"/>
    <tableColumn id="2" xr3:uid="{00000000-0010-0000-0300-000002000000}" name="Valor ($)"/>
  </tableColumns>
  <tableStyleInfo name="Liquidacion Sueldo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ptiembre_Raul" displayName="Septiembre_Raul" ref="D2:E7">
  <tableColumns count="2">
    <tableColumn id="1" xr3:uid="{00000000-0010-0000-0400-000001000000}" name="Concepto"/>
    <tableColumn id="2" xr3:uid="{00000000-0010-0000-0400-000002000000}" name="Valor ($)"/>
  </tableColumns>
  <tableStyleInfo name="Liquidacion Sueldo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ayo" displayName="Payo" ref="A12:B17">
  <tableColumns count="2">
    <tableColumn id="1" xr3:uid="{00000000-0010-0000-0500-000001000000}" name="Concepto"/>
    <tableColumn id="2" xr3:uid="{00000000-0010-0000-0500-000002000000}" name="Valor ($)"/>
  </tableColumns>
  <tableStyleInfo name="Liquidacion Sueldos-style 3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ose_octubre" displayName="Jose_octubre" ref="D12:E17">
  <tableColumns count="2">
    <tableColumn id="1" xr3:uid="{00000000-0010-0000-0600-000001000000}" name="Concepto"/>
    <tableColumn id="2" xr3:uid="{00000000-0010-0000-0600-000002000000}" name="Valor ($)"/>
  </tableColumns>
  <tableStyleInfo name="Liquidacion Sueldos-style 4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io_Broder_Octubre" displayName="Tio_Broder_Octubre" ref="A20:B26">
  <tableColumns count="2">
    <tableColumn id="1" xr3:uid="{00000000-0010-0000-0700-000001000000}" name="Concepto"/>
    <tableColumn id="2" xr3:uid="{00000000-0010-0000-0700-000002000000}" name="Valor ($)"/>
  </tableColumns>
  <tableStyleInfo name="Liquidacion Sueldos-style 5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aul_Octubre" displayName="Raul_Octubre" ref="D20:E24">
  <tableColumns count="2">
    <tableColumn id="1" xr3:uid="{00000000-0010-0000-0800-000001000000}" name="Concepto"/>
    <tableColumn id="2" xr3:uid="{00000000-0010-0000-0800-000002000000}" name="Valor ($)"/>
  </tableColumns>
  <tableStyleInfo name="Liquidacion Sueldos-style 6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Gago_Noviembre" displayName="Gago_Noviembre" ref="D30:E34">
  <tableColumns count="2">
    <tableColumn id="1" xr3:uid="{00000000-0010-0000-0900-000001000000}" name="Concepto"/>
    <tableColumn id="2" xr3:uid="{00000000-0010-0000-0900-000002000000}" name="Valor ($)"/>
  </tableColumns>
  <tableStyleInfo name="Liquidacion Sueldos-style 7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ioBroder_Noviembre" displayName="TioBroder_Noviembre" ref="A36:B42">
  <tableColumns count="2">
    <tableColumn id="1" xr3:uid="{00000000-0010-0000-0A00-000001000000}" name="Concepto"/>
    <tableColumn id="2" xr3:uid="{00000000-0010-0000-0A00-000002000000}" name="Valor ($)"/>
  </tableColumns>
  <tableStyleInfo name="Liquidacion Sueldos-style 8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aul_Diciembre" displayName="Raul_Diciembre" ref="D37:E43">
  <tableColumns count="2">
    <tableColumn id="1" xr3:uid="{00000000-0010-0000-0B00-000001000000}" name="Concepto"/>
    <tableColumn id="2" xr3:uid="{00000000-0010-0000-0B00-000002000000}" name="Valor ($)"/>
  </tableColumns>
  <tableStyleInfo name="Liquidacion Sueldos-style 9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Bomba_Diciembre" displayName="Bomba_Diciembre" ref="A46:B52">
  <tableColumns count="2">
    <tableColumn id="1" xr3:uid="{00000000-0010-0000-0C00-000001000000}" name="Concepto"/>
    <tableColumn id="2" xr3:uid="{00000000-0010-0000-0C00-000002000000}" name="Valor ($)"/>
  </tableColumns>
  <tableStyleInfo name="Liquidacion Sueldos-style 10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Bomba_Enero" displayName="Bomba_Enero" ref="A56:B62">
  <tableColumns count="2">
    <tableColumn id="1" xr3:uid="{00000000-0010-0000-0D00-000001000000}" name="Concepto"/>
    <tableColumn id="2" xr3:uid="{00000000-0010-0000-0D00-000002000000}" name="Valor ($)"/>
  </tableColumns>
  <tableStyleInfo name="Liquidacion Sueldos-style 11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Gago_Marzo" displayName="Gago_Marzo" ref="D56:E62">
  <tableColumns count="2">
    <tableColumn id="1" xr3:uid="{00000000-0010-0000-0E00-000001000000}" name="Concepto"/>
    <tableColumn id="2" xr3:uid="{00000000-0010-0000-0E00-000002000000}" name="Valor ($)"/>
  </tableColumns>
  <tableStyleInfo name="Liquidacion Sueldos-style 1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Bomba_Marzo" displayName="Bomba_Marzo" ref="A65:B71">
  <tableColumns count="2">
    <tableColumn id="1" xr3:uid="{00000000-0010-0000-0F00-000001000000}" name="Concepto"/>
    <tableColumn id="2" xr3:uid="{00000000-0010-0000-0F00-000002000000}" name="Valor ($)"/>
  </tableColumns>
  <tableStyleInfo name="Liquidacion Sueldos-style 1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osecha" displayName="Cosecha" ref="A1:I70" totalsRowCount="1">
  <autoFilter ref="A1:I69" xr:uid="{00000000-0009-0000-0100-000011000000}"/>
  <tableColumns count="9">
    <tableColumn id="1" xr3:uid="{00000000-0010-0000-1000-000001000000}" name="Fecha"/>
    <tableColumn id="2" xr3:uid="{00000000-0010-0000-1000-000002000000}" name="Cliente"/>
    <tableColumn id="3" xr3:uid="{00000000-0010-0000-1000-000003000000}" name="Cosechero" totalsRowLabel="Total Bolsas"/>
    <tableColumn id="4" xr3:uid="{00000000-0010-0000-1000-000004000000}" name="Cantidad (bolsas)" totalsRowFunction="custom">
      <totalsRowFormula>SUM(Cosecha[Cantidad (bolsas)])</totalsRowFormula>
    </tableColumn>
    <tableColumn id="5" xr3:uid="{00000000-0010-0000-1000-000005000000}" name="Precio Unit"/>
    <tableColumn id="6" xr3:uid="{00000000-0010-0000-1000-000006000000}" name="Total" totalsRowLabel="Total Alexis"/>
    <tableColumn id="7" xr3:uid="{00000000-0010-0000-1000-000007000000}" name="Alexis" totalsRowFunction="custom">
      <totalsRowFormula>SUM(Cosecha[Alexis])</totalsRowFormula>
    </tableColumn>
    <tableColumn id="8" xr3:uid="{00000000-0010-0000-1000-000008000000}" name="Estado"/>
    <tableColumn id="9" xr3:uid="{00000000-0010-0000-1000-000009000000}" name="Columna 1"/>
  </tableColumns>
  <tableStyleInfo name="Produccion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uenta_Naranja_X" displayName="Cuenta_Naranja_X" ref="A2:H283" totalsRowCount="1">
  <autoFilter ref="A2:H282" xr:uid="{00000000-0009-0000-0100-000012000000}"/>
  <tableColumns count="8">
    <tableColumn id="1" xr3:uid="{00000000-0010-0000-1100-000001000000}" name="Concepto" totalsRowLabel="Totales y balance"/>
    <tableColumn id="2" xr3:uid="{00000000-0010-0000-1100-000002000000}" name="Entrada" totalsRowFunction="custom">
      <totalsRowFormula>SUM(Cuenta_Naranja_X[Entrada])</totalsRowFormula>
    </tableColumn>
    <tableColumn id="3" xr3:uid="{00000000-0010-0000-1100-000003000000}" name="Gastos" totalsRowFunction="custom">
      <totalsRowFormula>-1*SUM(Cuenta_Naranja_X[Gastos])</totalsRowFormula>
    </tableColumn>
    <tableColumn id="4" xr3:uid="{00000000-0010-0000-1100-000004000000}" name="Fecha" totalsRowFunction="custom">
      <totalsRowFormula>SUM(Cuenta_Naranja_X[[#Totals],[Entrada]:[Gastos]])</totalsRowFormula>
    </tableColumn>
    <tableColumn id="5" xr3:uid="{00000000-0010-0000-1100-000005000000}" name="Concepto 2" totalsRowFunction="custom">
      <totalsRowFormula>IFERROR(__xludf.DUMMYFUNCTION("REGEXEXTRACT(A283,""[A-Za-z]+"")"),"Totales")</totalsRowFormula>
    </tableColumn>
    <tableColumn id="6" xr3:uid="{00000000-0010-0000-1100-000006000000}" name="Mes"/>
    <tableColumn id="7" xr3:uid="{00000000-0010-0000-1100-000007000000}" name="Columna 1"/>
    <tableColumn id="8" xr3:uid="{00000000-0010-0000-1100-000008000000}" name="Column 8"/>
  </tableColumns>
  <tableStyleInfo name="Finanza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9-12T16:00:42.00" personId="{f977c6ff-ac0c-4b25-9361-08b563502b79}" id="{ad232839-d997-4987-913a-358b64ea7c45}" done="0">
    <x18tc:text xml:space="preserve">Esta sumado el seguro del auto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1" dT="2025-10-22T14:08:38.00" personId="{f977c6ff-ac0c-4b25-9361-08b563502b79}" id="{551191da-d63a-4b92-b35b-8b6a9aedcb5f}" done="0">
    <x18tc:text xml:space="preserve">De aca 25 se transfieren a Sergio pago sabado</x18tc:text>
  </x18tc:threadedComment>
  <x18tc:threadedComment ref="A8" dT="2025-10-09T16:48:38.00" personId="{f977c6ff-ac0c-4b25-9361-08b563502b79}" id="{273f3b46-12de-47e6-a143-23fa84122568}" done="0">
    <x18tc:text xml:space="preserve">Devolucion a Sergio que pago adelanto</x18tc:text>
  </x18tc:threadedComment>
  <x18tc:threadedComment ref="A9" dT="2025-10-09T16:48:58.00" personId="{f977c6ff-ac0c-4b25-9361-08b563502b79}" id="{76569987-c0f7-443a-a062-7a5322f843a0}" done="0">
    <x18tc:text xml:space="preserve">De aca 180 se transfieren a Sergio adelanto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6" dT="2025-10-22T14:09:12.00" personId="{f977c6ff-ac0c-4b25-9361-08b563502b79}" id="{757ba74f-b174-4127-a5f3-6b14e00a82f9}" done="0">
    <x18tc:text xml:space="preserve">Se devuelve la torasca a Sergio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91" dT="2026-02-20T00:07:50.00" personId="{f977c6ff-ac0c-4b25-9361-08b563502b79}" id="{0f6b8f5f-f892-48b3-a5fb-b79ecaba2d2a}" done="0">
    <x18tc:text xml:space="preserve">no sale de naranja X</x18tc:text>
  </x18tc:threadedComment>
  <x18tc:threadedComment ref="A193" dT="2026-02-20T00:09:29.00" personId="{f977c6ff-ac0c-4b25-9361-08b563502b79}" id="{81cf3c99-4ff6-4225-bff2-25d6844e6b8f}" done="0">
    <x18tc:text xml:space="preserve">No sale de NX</x18tc:text>
  </x18tc:threadedComment>
  <x18tc:threadedComment ref="A253" dT="2026-03-29T03:46:40.00" personId="{f977c6ff-ac0c-4b25-9361-08b563502b79}" id="{d4286625-9a5d-49fe-94fb-d4601708ad3b}" done="0">
    <x18tc:text xml:space="preserve">Este item pongo en 890 mas alla de que fue de 950 pero lo pongo a son de que es para dolares y me transfirio vidai</x18tc:text>
  </x18tc:threadedComment>
  <x18tc:threadedComment ref="A192" dT="2026-02-20T00:08:10.00" personId="{f977c6ff-ac0c-4b25-9361-08b563502b79}" id="{0f97d4aa-1670-4576-95dd-6ff8af27f337}" done="0">
    <x18tc:text xml:space="preserve">No sale NX</x18tc:text>
  </x18tc:threadedComment>
  <x18tc:threadedComment ref="A21" dT="2025-11-08T14:54:16.00" personId="{f977c6ff-ac0c-4b25-9361-08b563502b79}" id="{9c3ed3a8-2e30-42a0-a1fa-ba7fd0742ab6}" done="0">
    <x18tc:text xml:space="preserve">Como parte de prestamo de 1M</x18tc:text>
  </x18tc:threadedComment>
  <x18tc:threadedComment ref="C116" dT="2026-01-07T01:45:08.00" personId="{f977c6ff-ac0c-4b25-9361-08b563502b79}" id="{7ca181e9-3ea6-424b-9ee5-dfd764f0a469}" done="0">
    <x18tc:text xml:space="preserve">aplique a los 9000 para que de</x18tc:text>
  </x18tc:threadedComment>
  <x18tc:threadedComment ref="A18" dT="2025-11-08T14:53:33.00" personId="{f977c6ff-ac0c-4b25-9361-08b563502b79}" id="{b9bac775-638f-4086-a263-5b1f96e08309}" done="0">
    <x18tc:text xml:space="preserve">Pago a Mamu 2 1/2, y 1 dia de adelanto a payo</x18tc:text>
  </x18tc:threadedComment>
  <x18tc:threadedComment ref="A7" dT="2025-11-08T14:51:52.00" personId="{f977c6ff-ac0c-4b25-9361-08b563502b79}" id="{b43760dd-b028-4640-9ba8-ae8e04443312}" done="0">
    <x18tc:text xml:space="preserve">Como parte de devolucion a sueldos que anticipo</x18tc:text>
  </x18tc:threadedComment>
  <x18tc:threadedComment ref="A27" dT="2025-11-08T14:55:23.00" personId="{f977c6ff-ac0c-4b25-9361-08b563502b79}" id="{bf23a208-8f6c-48cf-80c3-b6022333768a}" done="0">
    <x18tc:text xml:space="preserve">Marimar hizo las compras, devolucion</x18tc:text>
  </x18tc:threadedComment>
  <x18tc:threadedComment ref="A26" dT="2025-10-28T20:14:01.00" personId="{f977c6ff-ac0c-4b25-9361-08b563502b79}" id="{1ce8a0ad-d7a2-45b2-8685-019753793ef8}" done="0">
    <x18tc:text xml:space="preserve">200 PARA SU PRESTAMO DE 1M, Y 200 ENTERAR PARA LA VACA</x18tc:text>
  </x18tc:threadedComment>
  <x18tc:threadedComment ref="A19" dT="2025-11-08T14:54:53.00" personId="{f977c6ff-ac0c-4b25-9361-08b563502b79}" id="{aa22a2d6-b64a-4bdd-bd5c-300d6eb46fa9}" done="0">
    <x18tc:text xml:space="preserve">Compra Hecha en cerillos</x18tc:text>
  </x18tc:threadedComment>
  <x18tc:threadedComment ref="A207" dT="2026-03-05T18:55:17.00" personId="{f977c6ff-ac0c-4b25-9361-08b563502b79}" id="{fea6c596-cae1-469e-8d65-6a31ce87af5c}" done="0">
    <x18tc:text xml:space="preserve">No hace parte de Naranja X a fines de control nomas</x18tc:text>
  </x18tc:threadedComment>
  <x18tc:threadedComment ref="A22" dT="2025-11-08T14:54:33.00" personId="{f977c6ff-ac0c-4b25-9361-08b563502b79}" id="{c14c633a-5087-4701-b45f-2390d7d6103e}" done="0">
    <x18tc:text xml:space="preserve">Como parte de Prestamo 1M</x18tc:text>
  </x18tc:threadedComment>
  <x18tc:threadedComment ref="A197" dT="2026-02-20T03:16:25.00" personId="{f977c6ff-ac0c-4b25-9361-08b563502b79}" id="{eba7eb94-beb4-452f-b5aa-7a31ccb1694e}" done="0">
    <x18tc:text xml:space="preserve">No sale de NX LE PONGO PARA AYUDAR</x18tc:text>
  </x18tc:threadedComment>
  <x18tc:threadedComment ref="A34" dT="2025-11-08T14:57:18.00" personId="{f977c6ff-ac0c-4b25-9361-08b563502b79}" id="{acce5899-4b47-4641-9d67-9e333a396688}" done="0">
    <x18tc:text xml:space="preserve">Aca se paga el prestamo y un aliciente de cuota</x18tc:text>
  </x18tc:threadedComment>
  <x18tc:threadedComment ref="A198" dT="2026-02-20T03:17:44.00" personId="{f977c6ff-ac0c-4b25-9361-08b563502b79}" id="{cb57bf27-a815-420e-ba92-a9fc4f98eb6b}" done="0">
    <x18tc:text xml:space="preserve">Debia haber entrado en caja, pero no entro y salio por fuera de nx,</x18tc:text>
  </x18tc:threadedComment>
  <x18tc:threadedComment ref="A30" dT="2025-11-08T14:56:33.00" personId="{f977c6ff-ac0c-4b25-9361-08b563502b79}" id="{316b87c6-f8b4-4afa-bc85-561b838a7042}" done="0">
    <x18tc:text xml:space="preserve">Movimiento echo para igualar los tantos, quizas por perdida de informacion</x18tc:text>
  </x18tc:threadedComment>
  <x18tc:threadedComment ref="A190" dT="2026-02-20T00:07:33.00" personId="{f977c6ff-ac0c-4b25-9361-08b563502b79}" id="{39afb3c6-9a15-4ec6-b4d9-6b85bdd17b5f}" done="0">
    <x18tc:text xml:space="preserve">Solo calculo no Entra naranja</x18tc:text>
  </x18tc:threadedComment>
  <x18tc:threadedComment ref="A29" dT="2025-11-08T14:55:53.00" personId="{f977c6ff-ac0c-4b25-9361-08b563502b79}" id="{04f1b244-aff0-4ae6-88f9-32c741c3f8cc}" done="0">
    <x18tc:text xml:space="preserve">Gastos echos en octubre de uber</x18tc:text>
  </x18tc:threadedComment>
  <x18tc:threadedComment ref="A187" dT="2026-02-19T23:46:10.00" personId="{f977c6ff-ac0c-4b25-9361-08b563502b79}" id="{9f2af516-7325-4d6c-a8af-7f19db715875}" done="0">
    <x18tc:text xml:space="preserve">Esto jamas entro en Naranja a fines practicos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5" Type="http://schemas.microsoft.com/office/2017/10/relationships/threadedComment" Target="../threadedComments/threadedComment2.xml"/><Relationship Id="rId4" Type="http://schemas.microsoft.com/office/2019/04/relationships/documenttask" Target="../documenttasks/documenttask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13" Type="http://schemas.openxmlformats.org/officeDocument/2006/relationships/table" Target="../tables/table14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12" Type="http://schemas.openxmlformats.org/officeDocument/2006/relationships/table" Target="../tables/table13.xml"/><Relationship Id="rId17" Type="http://schemas.microsoft.com/office/2017/10/relationships/threadedComment" Target="../threadedComments/threadedComment3.xml"/><Relationship Id="rId2" Type="http://schemas.openxmlformats.org/officeDocument/2006/relationships/table" Target="../tables/table3.xml"/><Relationship Id="rId16" Type="http://schemas.microsoft.com/office/2019/04/relationships/documenttask" Target="../documenttasks/documenttask3.xml"/><Relationship Id="rId1" Type="http://schemas.openxmlformats.org/officeDocument/2006/relationships/vmlDrawing" Target="../drawings/vmlDrawing3.v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5" Type="http://schemas.openxmlformats.org/officeDocument/2006/relationships/comments" Target="../comments3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Relationship Id="rId1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4.vml"/><Relationship Id="rId5" Type="http://schemas.microsoft.com/office/2017/10/relationships/threadedComment" Target="../threadedComments/threadedComment4.xml"/><Relationship Id="rId4" Type="http://schemas.microsoft.com/office/2019/04/relationships/documenttask" Target="../documenttasks/documenttask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46"/>
  <sheetViews>
    <sheetView tabSelected="1" workbookViewId="0">
      <pane ySplit="1" topLeftCell="A465" activePane="bottomLeft" state="frozen"/>
      <selection pane="bottomLeft" activeCell="C470" sqref="C470"/>
    </sheetView>
  </sheetViews>
  <sheetFormatPr baseColWidth="10" defaultColWidth="12.6328125" defaultRowHeight="15.75" customHeight="1" x14ac:dyDescent="0.25"/>
  <cols>
    <col min="1" max="1" width="16.7265625" customWidth="1"/>
    <col min="2" max="2" width="38.08984375" customWidth="1"/>
    <col min="3" max="3" width="32.08984375" customWidth="1"/>
    <col min="4" max="5" width="13.453125" customWidth="1"/>
    <col min="6" max="6" width="19.90625" customWidth="1"/>
    <col min="7" max="7" width="18" customWidth="1"/>
  </cols>
  <sheetData>
    <row r="1" spans="1:9" ht="22.5" customHeight="1" x14ac:dyDescent="0.25">
      <c r="A1" s="6" t="s">
        <v>4</v>
      </c>
      <c r="B1" s="6" t="s">
        <v>7</v>
      </c>
      <c r="C1" s="6" t="s">
        <v>9</v>
      </c>
      <c r="D1" s="6" t="s">
        <v>10</v>
      </c>
      <c r="E1" s="6" t="s">
        <v>11</v>
      </c>
      <c r="F1" s="6" t="s">
        <v>13</v>
      </c>
      <c r="G1" s="6" t="s">
        <v>14</v>
      </c>
      <c r="H1" s="6" t="s">
        <v>16</v>
      </c>
      <c r="I1" s="6" t="s">
        <v>17</v>
      </c>
    </row>
    <row r="2" spans="1:9" ht="22.5" customHeight="1" x14ac:dyDescent="0.25">
      <c r="A2" s="8">
        <v>45934</v>
      </c>
      <c r="B2" s="7" t="s">
        <v>18</v>
      </c>
      <c r="C2" s="7" t="s">
        <v>20</v>
      </c>
      <c r="D2" s="7">
        <v>6930000</v>
      </c>
      <c r="E2" s="7" t="s">
        <v>22</v>
      </c>
      <c r="F2" s="7" t="s">
        <v>24</v>
      </c>
      <c r="G2" s="7" t="s">
        <v>27</v>
      </c>
      <c r="H2" s="7" t="str">
        <f t="shared" ref="H2:H256" si="0">TEXT(A2,"mmmm yyyy")</f>
        <v>octubre 2025</v>
      </c>
    </row>
    <row r="3" spans="1:9" ht="22.5" customHeight="1" x14ac:dyDescent="0.25">
      <c r="A3" s="8">
        <v>45936</v>
      </c>
      <c r="B3" s="7" t="s">
        <v>33</v>
      </c>
      <c r="C3" s="7" t="s">
        <v>20</v>
      </c>
      <c r="D3" s="7">
        <v>147000</v>
      </c>
      <c r="E3" s="7" t="s">
        <v>33</v>
      </c>
      <c r="F3" s="7" t="s">
        <v>24</v>
      </c>
      <c r="G3" s="7" t="s">
        <v>27</v>
      </c>
      <c r="H3" s="7" t="str">
        <f t="shared" si="0"/>
        <v>octubre 2025</v>
      </c>
    </row>
    <row r="4" spans="1:9" ht="22.5" customHeight="1" x14ac:dyDescent="0.25">
      <c r="A4" s="8">
        <v>45937</v>
      </c>
      <c r="B4" s="7" t="s">
        <v>40</v>
      </c>
      <c r="C4" s="7" t="s">
        <v>41</v>
      </c>
      <c r="D4" s="7">
        <v>30000</v>
      </c>
      <c r="E4" s="7" t="s">
        <v>31</v>
      </c>
      <c r="F4" s="7" t="s">
        <v>27</v>
      </c>
      <c r="G4" s="7" t="s">
        <v>24</v>
      </c>
      <c r="H4" s="7" t="str">
        <f t="shared" si="0"/>
        <v>octubre 2025</v>
      </c>
    </row>
    <row r="5" spans="1:9" ht="22.5" customHeight="1" x14ac:dyDescent="0.25">
      <c r="A5" s="8">
        <v>45938</v>
      </c>
      <c r="B5" s="7" t="s">
        <v>44</v>
      </c>
      <c r="C5" s="7" t="s">
        <v>20</v>
      </c>
      <c r="D5" s="7">
        <v>2152000</v>
      </c>
      <c r="E5" s="7" t="s">
        <v>0</v>
      </c>
      <c r="F5" s="7" t="s">
        <v>24</v>
      </c>
      <c r="G5" s="7" t="s">
        <v>27</v>
      </c>
      <c r="H5" s="7" t="str">
        <f t="shared" si="0"/>
        <v>octubre 2025</v>
      </c>
    </row>
    <row r="6" spans="1:9" ht="22.5" customHeight="1" x14ac:dyDescent="0.25">
      <c r="A6" s="8">
        <v>45939</v>
      </c>
      <c r="B6" s="7" t="s">
        <v>47</v>
      </c>
      <c r="C6" s="7" t="s">
        <v>41</v>
      </c>
      <c r="D6" s="7">
        <v>330000</v>
      </c>
      <c r="E6" s="7" t="s">
        <v>50</v>
      </c>
      <c r="F6" s="7" t="s">
        <v>27</v>
      </c>
      <c r="G6" s="7" t="s">
        <v>24</v>
      </c>
      <c r="H6" s="7" t="str">
        <f t="shared" si="0"/>
        <v>octubre 2025</v>
      </c>
    </row>
    <row r="7" spans="1:9" ht="22.5" customHeight="1" x14ac:dyDescent="0.25">
      <c r="A7" s="8">
        <v>45939</v>
      </c>
      <c r="B7" s="7" t="s">
        <v>53</v>
      </c>
      <c r="C7" s="7" t="s">
        <v>41</v>
      </c>
      <c r="D7" s="7">
        <v>220000</v>
      </c>
      <c r="E7" s="7" t="s">
        <v>50</v>
      </c>
      <c r="F7" s="7" t="s">
        <v>27</v>
      </c>
      <c r="G7" s="7" t="s">
        <v>24</v>
      </c>
      <c r="H7" s="7" t="str">
        <f t="shared" si="0"/>
        <v>octubre 2025</v>
      </c>
    </row>
    <row r="8" spans="1:9" ht="22.5" customHeight="1" x14ac:dyDescent="0.25">
      <c r="A8" s="8">
        <v>45942</v>
      </c>
      <c r="B8" s="7" t="s">
        <v>55</v>
      </c>
      <c r="C8" s="7" t="s">
        <v>41</v>
      </c>
      <c r="D8" s="7">
        <v>20000</v>
      </c>
      <c r="E8" s="7" t="s">
        <v>58</v>
      </c>
      <c r="F8" s="7" t="s">
        <v>27</v>
      </c>
      <c r="G8" s="7" t="s">
        <v>24</v>
      </c>
      <c r="H8" s="7" t="str">
        <f t="shared" si="0"/>
        <v>octubre 2025</v>
      </c>
    </row>
    <row r="9" spans="1:9" ht="22.5" customHeight="1" x14ac:dyDescent="0.25">
      <c r="A9" s="8">
        <v>45942</v>
      </c>
      <c r="B9" s="7" t="s">
        <v>59</v>
      </c>
      <c r="C9" s="7" t="s">
        <v>41</v>
      </c>
      <c r="D9" s="7">
        <v>30000</v>
      </c>
      <c r="E9" s="7" t="s">
        <v>31</v>
      </c>
      <c r="F9" s="7" t="s">
        <v>27</v>
      </c>
      <c r="G9" s="7" t="s">
        <v>24</v>
      </c>
      <c r="H9" s="7" t="str">
        <f t="shared" si="0"/>
        <v>octubre 2025</v>
      </c>
    </row>
    <row r="10" spans="1:9" ht="22.5" customHeight="1" x14ac:dyDescent="0.25">
      <c r="A10" s="8">
        <v>45942</v>
      </c>
      <c r="B10" s="7" t="s">
        <v>64</v>
      </c>
      <c r="C10" s="7" t="s">
        <v>41</v>
      </c>
      <c r="D10" s="7">
        <v>40000</v>
      </c>
      <c r="E10" s="7" t="s">
        <v>31</v>
      </c>
      <c r="F10" s="7" t="s">
        <v>27</v>
      </c>
      <c r="G10" s="7" t="s">
        <v>24</v>
      </c>
      <c r="H10" s="7" t="str">
        <f t="shared" si="0"/>
        <v>octubre 2025</v>
      </c>
    </row>
    <row r="11" spans="1:9" ht="22.5" customHeight="1" x14ac:dyDescent="0.25">
      <c r="A11" s="8">
        <v>45943</v>
      </c>
      <c r="B11" s="7" t="s">
        <v>68</v>
      </c>
      <c r="C11" s="7" t="s">
        <v>41</v>
      </c>
      <c r="D11" s="7">
        <v>25000</v>
      </c>
      <c r="E11" s="7" t="s">
        <v>31</v>
      </c>
      <c r="F11" s="7" t="s">
        <v>27</v>
      </c>
      <c r="G11" s="7" t="s">
        <v>24</v>
      </c>
      <c r="H11" s="7" t="str">
        <f t="shared" si="0"/>
        <v>octubre 2025</v>
      </c>
    </row>
    <row r="12" spans="1:9" ht="22.5" customHeight="1" x14ac:dyDescent="0.25">
      <c r="A12" s="8">
        <v>45943</v>
      </c>
      <c r="B12" s="7" t="s">
        <v>71</v>
      </c>
      <c r="C12" s="7" t="s">
        <v>20</v>
      </c>
      <c r="D12" s="7">
        <v>82000</v>
      </c>
      <c r="E12" s="7" t="s">
        <v>72</v>
      </c>
      <c r="F12" s="7" t="s">
        <v>24</v>
      </c>
      <c r="G12" s="7" t="s">
        <v>27</v>
      </c>
      <c r="H12" s="7" t="str">
        <f t="shared" si="0"/>
        <v>octubre 2025</v>
      </c>
    </row>
    <row r="13" spans="1:9" ht="22.5" customHeight="1" x14ac:dyDescent="0.25">
      <c r="A13" s="8">
        <v>45943</v>
      </c>
      <c r="B13" s="7" t="s">
        <v>74</v>
      </c>
      <c r="C13" s="7" t="s">
        <v>41</v>
      </c>
      <c r="D13" s="7">
        <v>60000</v>
      </c>
      <c r="E13" s="7" t="s">
        <v>76</v>
      </c>
      <c r="F13" s="7" t="s">
        <v>27</v>
      </c>
      <c r="G13" s="7" t="s">
        <v>24</v>
      </c>
      <c r="H13" s="7" t="str">
        <f t="shared" si="0"/>
        <v>octubre 2025</v>
      </c>
    </row>
    <row r="14" spans="1:9" ht="22.5" customHeight="1" x14ac:dyDescent="0.25">
      <c r="A14" s="8">
        <v>45952</v>
      </c>
      <c r="B14" s="7" t="s">
        <v>79</v>
      </c>
      <c r="C14" s="7" t="s">
        <v>41</v>
      </c>
      <c r="D14" s="7">
        <v>60000</v>
      </c>
      <c r="E14" s="7" t="s">
        <v>31</v>
      </c>
      <c r="F14" s="7" t="s">
        <v>27</v>
      </c>
      <c r="G14" s="7" t="s">
        <v>24</v>
      </c>
      <c r="H14" s="7" t="str">
        <f t="shared" si="0"/>
        <v>octubre 2025</v>
      </c>
    </row>
    <row r="15" spans="1:9" ht="22.5" customHeight="1" x14ac:dyDescent="0.25">
      <c r="A15" s="8">
        <v>45952</v>
      </c>
      <c r="B15" s="7" t="s">
        <v>82</v>
      </c>
      <c r="C15" s="7" t="s">
        <v>41</v>
      </c>
      <c r="D15" s="7">
        <v>513000</v>
      </c>
      <c r="E15" s="7" t="s">
        <v>84</v>
      </c>
      <c r="F15" s="7" t="s">
        <v>27</v>
      </c>
      <c r="G15" s="7" t="s">
        <v>24</v>
      </c>
      <c r="H15" s="7" t="str">
        <f t="shared" si="0"/>
        <v>octubre 2025</v>
      </c>
    </row>
    <row r="16" spans="1:9" ht="22.5" customHeight="1" x14ac:dyDescent="0.25">
      <c r="A16" s="8">
        <v>45952</v>
      </c>
      <c r="B16" s="7" t="s">
        <v>85</v>
      </c>
      <c r="C16" s="7" t="s">
        <v>41</v>
      </c>
      <c r="D16" s="7">
        <v>100000</v>
      </c>
      <c r="E16" s="7" t="s">
        <v>50</v>
      </c>
      <c r="F16" s="7" t="s">
        <v>27</v>
      </c>
      <c r="G16" s="7" t="s">
        <v>24</v>
      </c>
      <c r="H16" s="7" t="str">
        <f t="shared" si="0"/>
        <v>octubre 2025</v>
      </c>
    </row>
    <row r="17" spans="1:8" ht="22.5" customHeight="1" x14ac:dyDescent="0.25">
      <c r="A17" s="8">
        <v>45952</v>
      </c>
      <c r="B17" s="7" t="s">
        <v>89</v>
      </c>
      <c r="C17" s="7" t="s">
        <v>41</v>
      </c>
      <c r="D17" s="7">
        <v>87500</v>
      </c>
      <c r="E17" s="7" t="s">
        <v>50</v>
      </c>
      <c r="F17" s="7" t="s">
        <v>27</v>
      </c>
      <c r="G17" s="7" t="s">
        <v>24</v>
      </c>
      <c r="H17" s="7" t="str">
        <f t="shared" si="0"/>
        <v>octubre 2025</v>
      </c>
    </row>
    <row r="18" spans="1:8" ht="22.5" customHeight="1" x14ac:dyDescent="0.25">
      <c r="A18" s="8">
        <v>45954</v>
      </c>
      <c r="B18" s="7" t="s">
        <v>91</v>
      </c>
      <c r="C18" s="7" t="s">
        <v>41</v>
      </c>
      <c r="D18" s="7">
        <v>190000</v>
      </c>
      <c r="E18" s="7" t="s">
        <v>50</v>
      </c>
      <c r="F18" s="7" t="s">
        <v>27</v>
      </c>
      <c r="G18" s="7" t="s">
        <v>24</v>
      </c>
      <c r="H18" s="7" t="str">
        <f t="shared" si="0"/>
        <v>octubre 2025</v>
      </c>
    </row>
    <row r="19" spans="1:8" ht="22.5" customHeight="1" x14ac:dyDescent="0.25">
      <c r="A19" s="8">
        <v>45954</v>
      </c>
      <c r="B19" s="7" t="s">
        <v>95</v>
      </c>
      <c r="C19" s="7" t="s">
        <v>41</v>
      </c>
      <c r="D19" s="7">
        <v>63000</v>
      </c>
      <c r="E19" s="7" t="s">
        <v>50</v>
      </c>
      <c r="F19" s="7" t="s">
        <v>27</v>
      </c>
      <c r="G19" s="7" t="s">
        <v>24</v>
      </c>
      <c r="H19" s="7" t="str">
        <f t="shared" si="0"/>
        <v>octubre 2025</v>
      </c>
    </row>
    <row r="20" spans="1:8" ht="22.5" customHeight="1" x14ac:dyDescent="0.25">
      <c r="A20" s="8">
        <v>45955</v>
      </c>
      <c r="B20" s="7" t="s">
        <v>89</v>
      </c>
      <c r="C20" s="7" t="s">
        <v>41</v>
      </c>
      <c r="D20" s="7">
        <v>400000</v>
      </c>
      <c r="E20" s="7" t="s">
        <v>72</v>
      </c>
      <c r="F20" s="7" t="s">
        <v>27</v>
      </c>
      <c r="G20" s="7" t="s">
        <v>24</v>
      </c>
      <c r="H20" s="7" t="str">
        <f t="shared" si="0"/>
        <v>octubre 2025</v>
      </c>
    </row>
    <row r="21" spans="1:8" ht="22.5" customHeight="1" x14ac:dyDescent="0.25">
      <c r="A21" s="8">
        <v>45955</v>
      </c>
      <c r="B21" s="7" t="s">
        <v>99</v>
      </c>
      <c r="C21" s="7" t="s">
        <v>41</v>
      </c>
      <c r="D21" s="7">
        <v>400000</v>
      </c>
      <c r="E21" s="7" t="s">
        <v>72</v>
      </c>
      <c r="F21" s="7" t="s">
        <v>27</v>
      </c>
      <c r="G21" s="7" t="s">
        <v>24</v>
      </c>
      <c r="H21" s="7" t="str">
        <f t="shared" si="0"/>
        <v>octubre 2025</v>
      </c>
    </row>
    <row r="22" spans="1:8" ht="22.5" customHeight="1" x14ac:dyDescent="0.25">
      <c r="A22" s="8">
        <v>45955</v>
      </c>
      <c r="B22" s="7" t="s">
        <v>102</v>
      </c>
      <c r="C22" s="7" t="s">
        <v>41</v>
      </c>
      <c r="D22" s="7">
        <v>125000</v>
      </c>
      <c r="E22" s="7" t="s">
        <v>50</v>
      </c>
      <c r="F22" s="7" t="s">
        <v>27</v>
      </c>
      <c r="G22" s="7" t="s">
        <v>24</v>
      </c>
      <c r="H22" s="7" t="str">
        <f t="shared" si="0"/>
        <v>octubre 2025</v>
      </c>
    </row>
    <row r="23" spans="1:8" ht="22.5" customHeight="1" x14ac:dyDescent="0.25">
      <c r="A23" s="8">
        <v>45957</v>
      </c>
      <c r="B23" s="7" t="s">
        <v>79</v>
      </c>
      <c r="C23" s="7" t="s">
        <v>41</v>
      </c>
      <c r="D23" s="7">
        <v>18000</v>
      </c>
      <c r="E23" s="7" t="s">
        <v>31</v>
      </c>
      <c r="F23" s="7" t="s">
        <v>27</v>
      </c>
      <c r="G23" s="7" t="s">
        <v>24</v>
      </c>
      <c r="H23" s="7" t="str">
        <f t="shared" si="0"/>
        <v>octubre 2025</v>
      </c>
    </row>
    <row r="24" spans="1:8" ht="22.5" customHeight="1" x14ac:dyDescent="0.25">
      <c r="A24" s="8">
        <v>45958</v>
      </c>
      <c r="B24" s="7" t="s">
        <v>104</v>
      </c>
      <c r="C24" s="7" t="s">
        <v>41</v>
      </c>
      <c r="D24" s="7">
        <v>132669</v>
      </c>
      <c r="E24" s="7" t="s">
        <v>58</v>
      </c>
      <c r="F24" s="7" t="s">
        <v>27</v>
      </c>
      <c r="G24" s="7" t="s">
        <v>24</v>
      </c>
      <c r="H24" s="7" t="str">
        <f t="shared" si="0"/>
        <v>octubre 2025</v>
      </c>
    </row>
    <row r="25" spans="1:8" ht="22.5" customHeight="1" x14ac:dyDescent="0.25">
      <c r="A25" s="8">
        <v>45958</v>
      </c>
      <c r="B25" s="7" t="s">
        <v>106</v>
      </c>
      <c r="C25" s="7" t="s">
        <v>41</v>
      </c>
      <c r="D25" s="7">
        <v>400000</v>
      </c>
      <c r="E25" s="7" t="s">
        <v>72</v>
      </c>
      <c r="F25" s="7" t="s">
        <v>27</v>
      </c>
      <c r="G25" s="7" t="s">
        <v>24</v>
      </c>
      <c r="H25" s="7" t="str">
        <f t="shared" si="0"/>
        <v>octubre 2025</v>
      </c>
    </row>
    <row r="26" spans="1:8" ht="22.5" customHeight="1" x14ac:dyDescent="0.25">
      <c r="A26" s="8">
        <v>45958</v>
      </c>
      <c r="B26" s="7" t="s">
        <v>107</v>
      </c>
      <c r="C26" s="7" t="s">
        <v>41</v>
      </c>
      <c r="D26" s="7">
        <v>67000</v>
      </c>
      <c r="E26" s="7" t="s">
        <v>50</v>
      </c>
      <c r="F26" s="7" t="s">
        <v>27</v>
      </c>
      <c r="G26" s="7" t="s">
        <v>24</v>
      </c>
      <c r="H26" s="7" t="str">
        <f t="shared" si="0"/>
        <v>octubre 2025</v>
      </c>
    </row>
    <row r="27" spans="1:8" ht="22.5" customHeight="1" x14ac:dyDescent="0.25">
      <c r="A27" s="8">
        <v>45958</v>
      </c>
      <c r="B27" s="7" t="s">
        <v>108</v>
      </c>
      <c r="C27" s="7" t="s">
        <v>41</v>
      </c>
      <c r="D27" s="7">
        <v>60000</v>
      </c>
      <c r="E27" s="7" t="s">
        <v>31</v>
      </c>
      <c r="F27" s="7" t="s">
        <v>27</v>
      </c>
      <c r="G27" s="7" t="s">
        <v>24</v>
      </c>
      <c r="H27" s="7" t="str">
        <f t="shared" si="0"/>
        <v>octubre 2025</v>
      </c>
    </row>
    <row r="28" spans="1:8" ht="22.5" customHeight="1" x14ac:dyDescent="0.25">
      <c r="A28" s="8">
        <v>45958</v>
      </c>
      <c r="B28" s="7" t="s">
        <v>109</v>
      </c>
      <c r="C28" s="7" t="s">
        <v>41</v>
      </c>
      <c r="D28" s="7">
        <v>20000</v>
      </c>
      <c r="E28" s="7" t="s">
        <v>31</v>
      </c>
      <c r="F28" s="7" t="s">
        <v>27</v>
      </c>
      <c r="G28" s="7" t="s">
        <v>24</v>
      </c>
      <c r="H28" s="7" t="str">
        <f t="shared" si="0"/>
        <v>octubre 2025</v>
      </c>
    </row>
    <row r="29" spans="1:8" ht="22.5" customHeight="1" x14ac:dyDescent="0.25">
      <c r="A29" s="8">
        <v>45961</v>
      </c>
      <c r="B29" s="7" t="s">
        <v>111</v>
      </c>
      <c r="C29" s="7" t="s">
        <v>41</v>
      </c>
      <c r="D29" s="7">
        <v>17000</v>
      </c>
      <c r="E29" s="7" t="s">
        <v>22</v>
      </c>
      <c r="F29" s="7" t="s">
        <v>27</v>
      </c>
      <c r="G29" s="7" t="s">
        <v>24</v>
      </c>
      <c r="H29" s="7" t="str">
        <f t="shared" si="0"/>
        <v>octubre 2025</v>
      </c>
    </row>
    <row r="30" spans="1:8" ht="22.5" customHeight="1" x14ac:dyDescent="0.25">
      <c r="A30" s="8">
        <v>45964</v>
      </c>
      <c r="B30" s="7" t="s">
        <v>112</v>
      </c>
      <c r="C30" s="7" t="s">
        <v>41</v>
      </c>
      <c r="D30" s="7">
        <v>200000</v>
      </c>
      <c r="E30" s="7" t="s">
        <v>113</v>
      </c>
      <c r="F30" s="7" t="s">
        <v>27</v>
      </c>
      <c r="G30" s="7" t="s">
        <v>24</v>
      </c>
      <c r="H30" s="7" t="str">
        <f t="shared" si="0"/>
        <v>noviembre 2025</v>
      </c>
    </row>
    <row r="31" spans="1:8" ht="22.5" customHeight="1" x14ac:dyDescent="0.25">
      <c r="A31" s="8">
        <v>45966</v>
      </c>
      <c r="B31" s="7" t="s">
        <v>115</v>
      </c>
      <c r="C31" s="7" t="s">
        <v>41</v>
      </c>
      <c r="D31" s="7">
        <v>11000</v>
      </c>
      <c r="E31" s="7" t="s">
        <v>58</v>
      </c>
      <c r="F31" s="7" t="s">
        <v>27</v>
      </c>
      <c r="G31" s="7" t="s">
        <v>24</v>
      </c>
      <c r="H31" s="7" t="str">
        <f t="shared" si="0"/>
        <v>noviembre 2025</v>
      </c>
    </row>
    <row r="32" spans="1:8" ht="22.5" customHeight="1" x14ac:dyDescent="0.25">
      <c r="A32" s="8">
        <v>45966</v>
      </c>
      <c r="B32" s="7" t="s">
        <v>116</v>
      </c>
      <c r="C32" s="7" t="s">
        <v>41</v>
      </c>
      <c r="D32" s="7">
        <v>20500</v>
      </c>
      <c r="E32" s="7" t="s">
        <v>58</v>
      </c>
      <c r="F32" s="7" t="s">
        <v>27</v>
      </c>
      <c r="G32" s="7" t="s">
        <v>24</v>
      </c>
      <c r="H32" s="7" t="str">
        <f t="shared" si="0"/>
        <v>noviembre 2025</v>
      </c>
    </row>
    <row r="33" spans="1:8" ht="22.5" customHeight="1" x14ac:dyDescent="0.25">
      <c r="A33" s="8">
        <v>45966</v>
      </c>
      <c r="B33" s="7" t="s">
        <v>117</v>
      </c>
      <c r="C33" s="7" t="s">
        <v>41</v>
      </c>
      <c r="D33" s="7">
        <v>98000</v>
      </c>
      <c r="E33" s="7" t="s">
        <v>84</v>
      </c>
      <c r="F33" s="7" t="s">
        <v>27</v>
      </c>
      <c r="G33" s="7" t="s">
        <v>24</v>
      </c>
      <c r="H33" s="7" t="str">
        <f t="shared" si="0"/>
        <v>noviembre 2025</v>
      </c>
    </row>
    <row r="34" spans="1:8" ht="22.5" customHeight="1" x14ac:dyDescent="0.25">
      <c r="A34" s="8">
        <v>45966</v>
      </c>
      <c r="B34" s="7" t="s">
        <v>118</v>
      </c>
      <c r="C34" s="7" t="s">
        <v>20</v>
      </c>
      <c r="D34" s="7">
        <v>66480</v>
      </c>
      <c r="E34" s="7" t="s">
        <v>120</v>
      </c>
      <c r="F34" s="7" t="s">
        <v>24</v>
      </c>
      <c r="G34" s="7" t="s">
        <v>27</v>
      </c>
      <c r="H34" s="7" t="str">
        <f t="shared" si="0"/>
        <v>noviembre 2025</v>
      </c>
    </row>
    <row r="35" spans="1:8" ht="22.5" customHeight="1" x14ac:dyDescent="0.25">
      <c r="A35" s="8">
        <v>45966</v>
      </c>
      <c r="B35" s="7" t="s">
        <v>121</v>
      </c>
      <c r="C35" s="7" t="s">
        <v>41</v>
      </c>
      <c r="D35" s="7">
        <v>350000</v>
      </c>
      <c r="E35" s="7" t="s">
        <v>50</v>
      </c>
      <c r="F35" s="7" t="s">
        <v>27</v>
      </c>
      <c r="G35" s="7" t="s">
        <v>24</v>
      </c>
      <c r="H35" s="7" t="str">
        <f t="shared" si="0"/>
        <v>noviembre 2025</v>
      </c>
    </row>
    <row r="36" spans="1:8" ht="22.5" customHeight="1" x14ac:dyDescent="0.25">
      <c r="A36" s="8">
        <v>45968</v>
      </c>
      <c r="B36" s="7" t="s">
        <v>122</v>
      </c>
      <c r="C36" s="7" t="s">
        <v>20</v>
      </c>
      <c r="D36" s="7">
        <v>2070000</v>
      </c>
      <c r="E36" s="7" t="s">
        <v>0</v>
      </c>
      <c r="F36" s="7" t="s">
        <v>24</v>
      </c>
      <c r="G36" s="7" t="s">
        <v>27</v>
      </c>
      <c r="H36" s="7" t="str">
        <f t="shared" si="0"/>
        <v>noviembre 2025</v>
      </c>
    </row>
    <row r="37" spans="1:8" ht="22.5" customHeight="1" x14ac:dyDescent="0.25">
      <c r="A37" s="8">
        <v>45969</v>
      </c>
      <c r="B37" s="7" t="s">
        <v>123</v>
      </c>
      <c r="C37" s="7" t="s">
        <v>20</v>
      </c>
      <c r="D37" s="7">
        <v>24000</v>
      </c>
      <c r="E37" s="7" t="s">
        <v>33</v>
      </c>
      <c r="F37" s="7" t="s">
        <v>24</v>
      </c>
      <c r="G37" s="7" t="s">
        <v>27</v>
      </c>
      <c r="H37" s="7" t="str">
        <f t="shared" si="0"/>
        <v>noviembre 2025</v>
      </c>
    </row>
    <row r="38" spans="1:8" ht="22.5" customHeight="1" x14ac:dyDescent="0.25">
      <c r="A38" s="8">
        <v>45970</v>
      </c>
      <c r="B38" s="7" t="s">
        <v>124</v>
      </c>
      <c r="C38" s="7" t="s">
        <v>20</v>
      </c>
      <c r="D38" s="7">
        <v>15000</v>
      </c>
      <c r="E38" s="7" t="s">
        <v>33</v>
      </c>
      <c r="F38" s="7" t="s">
        <v>24</v>
      </c>
      <c r="G38" s="7" t="s">
        <v>27</v>
      </c>
      <c r="H38" s="7" t="str">
        <f t="shared" si="0"/>
        <v>noviembre 2025</v>
      </c>
    </row>
    <row r="39" spans="1:8" ht="22.5" customHeight="1" x14ac:dyDescent="0.25">
      <c r="A39" s="8">
        <v>45971</v>
      </c>
      <c r="B39" s="7" t="s">
        <v>125</v>
      </c>
      <c r="C39" s="7" t="s">
        <v>41</v>
      </c>
      <c r="D39" s="7">
        <v>30000</v>
      </c>
      <c r="E39" s="7" t="s">
        <v>31</v>
      </c>
      <c r="F39" s="7" t="s">
        <v>27</v>
      </c>
      <c r="G39" s="7" t="s">
        <v>24</v>
      </c>
      <c r="H39" s="7" t="str">
        <f t="shared" si="0"/>
        <v>noviembre 2025</v>
      </c>
    </row>
    <row r="40" spans="1:8" ht="22.5" customHeight="1" x14ac:dyDescent="0.25">
      <c r="A40" s="8">
        <v>45971</v>
      </c>
      <c r="B40" s="7" t="s">
        <v>127</v>
      </c>
      <c r="C40" s="7" t="s">
        <v>41</v>
      </c>
      <c r="D40" s="7">
        <v>13500</v>
      </c>
      <c r="E40" s="7" t="s">
        <v>31</v>
      </c>
      <c r="F40" s="7" t="s">
        <v>27</v>
      </c>
      <c r="G40" s="7" t="s">
        <v>24</v>
      </c>
      <c r="H40" s="7" t="str">
        <f t="shared" si="0"/>
        <v>noviembre 2025</v>
      </c>
    </row>
    <row r="41" spans="1:8" ht="22.5" customHeight="1" x14ac:dyDescent="0.25">
      <c r="A41" s="8">
        <v>45971</v>
      </c>
      <c r="B41" s="7" t="s">
        <v>128</v>
      </c>
      <c r="C41" s="7" t="s">
        <v>41</v>
      </c>
      <c r="D41" s="7">
        <v>29500</v>
      </c>
      <c r="E41" s="7" t="s">
        <v>31</v>
      </c>
      <c r="F41" s="7" t="s">
        <v>27</v>
      </c>
      <c r="G41" s="7" t="s">
        <v>24</v>
      </c>
      <c r="H41" s="7" t="str">
        <f t="shared" si="0"/>
        <v>noviembre 2025</v>
      </c>
    </row>
    <row r="42" spans="1:8" ht="22.5" customHeight="1" x14ac:dyDescent="0.25">
      <c r="A42" s="8">
        <v>45972</v>
      </c>
      <c r="B42" s="7" t="s">
        <v>133</v>
      </c>
      <c r="C42" s="7" t="s">
        <v>20</v>
      </c>
      <c r="D42" s="7">
        <v>50000</v>
      </c>
      <c r="E42" s="7" t="s">
        <v>33</v>
      </c>
      <c r="F42" s="7" t="s">
        <v>24</v>
      </c>
      <c r="G42" s="7" t="s">
        <v>27</v>
      </c>
      <c r="H42" s="7" t="str">
        <f t="shared" si="0"/>
        <v>noviembre 2025</v>
      </c>
    </row>
    <row r="43" spans="1:8" ht="22.5" customHeight="1" x14ac:dyDescent="0.25">
      <c r="A43" s="8">
        <v>45975</v>
      </c>
      <c r="B43" s="7" t="s">
        <v>137</v>
      </c>
      <c r="C43" s="7" t="s">
        <v>20</v>
      </c>
      <c r="D43" s="7">
        <v>66700</v>
      </c>
      <c r="E43" s="7" t="s">
        <v>120</v>
      </c>
      <c r="F43" s="7" t="s">
        <v>24</v>
      </c>
      <c r="G43" s="7" t="s">
        <v>27</v>
      </c>
      <c r="H43" s="7" t="str">
        <f t="shared" si="0"/>
        <v>noviembre 2025</v>
      </c>
    </row>
    <row r="44" spans="1:8" ht="22.5" customHeight="1" x14ac:dyDescent="0.25">
      <c r="A44" s="8">
        <v>45975</v>
      </c>
      <c r="B44" s="7" t="s">
        <v>138</v>
      </c>
      <c r="C44" s="7" t="s">
        <v>41</v>
      </c>
      <c r="D44" s="7">
        <v>700000</v>
      </c>
      <c r="E44" s="7" t="s">
        <v>50</v>
      </c>
      <c r="F44" s="7" t="s">
        <v>27</v>
      </c>
      <c r="G44" s="7" t="s">
        <v>24</v>
      </c>
      <c r="H44" s="7" t="str">
        <f t="shared" si="0"/>
        <v>noviembre 2025</v>
      </c>
    </row>
    <row r="45" spans="1:8" ht="22.5" customHeight="1" x14ac:dyDescent="0.25">
      <c r="A45" s="8">
        <v>45975</v>
      </c>
      <c r="B45" s="7" t="s">
        <v>140</v>
      </c>
      <c r="C45" s="7" t="s">
        <v>41</v>
      </c>
      <c r="D45" s="7">
        <v>20000</v>
      </c>
      <c r="E45" s="7" t="s">
        <v>58</v>
      </c>
      <c r="F45" s="7" t="s">
        <v>27</v>
      </c>
      <c r="G45" s="7" t="s">
        <v>24</v>
      </c>
      <c r="H45" s="7" t="str">
        <f t="shared" si="0"/>
        <v>noviembre 2025</v>
      </c>
    </row>
    <row r="46" spans="1:8" ht="22.5" customHeight="1" x14ac:dyDescent="0.25">
      <c r="A46" s="8">
        <v>45977</v>
      </c>
      <c r="B46" s="7" t="s">
        <v>143</v>
      </c>
      <c r="C46" s="7" t="s">
        <v>20</v>
      </c>
      <c r="D46" s="7">
        <v>80000</v>
      </c>
      <c r="E46" s="7" t="s">
        <v>72</v>
      </c>
      <c r="F46" s="7" t="s">
        <v>24</v>
      </c>
      <c r="G46" s="7" t="s">
        <v>27</v>
      </c>
      <c r="H46" s="7" t="str">
        <f t="shared" si="0"/>
        <v>noviembre 2025</v>
      </c>
    </row>
    <row r="47" spans="1:8" ht="22.5" customHeight="1" x14ac:dyDescent="0.25">
      <c r="A47" s="8">
        <v>45977</v>
      </c>
      <c r="B47" s="7" t="s">
        <v>144</v>
      </c>
      <c r="C47" s="7" t="s">
        <v>41</v>
      </c>
      <c r="D47" s="7">
        <v>70000</v>
      </c>
      <c r="E47" s="7" t="s">
        <v>145</v>
      </c>
      <c r="F47" s="7" t="s">
        <v>27</v>
      </c>
      <c r="G47" s="7" t="s">
        <v>24</v>
      </c>
      <c r="H47" s="7" t="str">
        <f t="shared" si="0"/>
        <v>noviembre 2025</v>
      </c>
    </row>
    <row r="48" spans="1:8" ht="22.5" customHeight="1" x14ac:dyDescent="0.25">
      <c r="A48" s="8">
        <v>45977</v>
      </c>
      <c r="B48" s="7" t="s">
        <v>146</v>
      </c>
      <c r="C48" s="7" t="s">
        <v>41</v>
      </c>
      <c r="D48" s="7">
        <v>54000</v>
      </c>
      <c r="E48" s="7" t="s">
        <v>76</v>
      </c>
      <c r="F48" s="7" t="s">
        <v>27</v>
      </c>
      <c r="G48" s="7" t="s">
        <v>24</v>
      </c>
      <c r="H48" s="7" t="str">
        <f t="shared" si="0"/>
        <v>noviembre 2025</v>
      </c>
    </row>
    <row r="49" spans="1:8" ht="22.5" customHeight="1" x14ac:dyDescent="0.25">
      <c r="A49" s="8">
        <v>45981</v>
      </c>
      <c r="B49" s="7" t="s">
        <v>147</v>
      </c>
      <c r="C49" s="7" t="s">
        <v>41</v>
      </c>
      <c r="D49" s="7">
        <v>15000</v>
      </c>
      <c r="E49" s="7" t="s">
        <v>58</v>
      </c>
      <c r="F49" s="7" t="s">
        <v>27</v>
      </c>
      <c r="G49" s="7" t="s">
        <v>24</v>
      </c>
      <c r="H49" s="7" t="str">
        <f t="shared" si="0"/>
        <v>noviembre 2025</v>
      </c>
    </row>
    <row r="50" spans="1:8" ht="22.5" customHeight="1" x14ac:dyDescent="0.25">
      <c r="A50" s="8">
        <v>45984</v>
      </c>
      <c r="B50" s="7" t="s">
        <v>151</v>
      </c>
      <c r="C50" s="7" t="s">
        <v>41</v>
      </c>
      <c r="D50" s="7">
        <v>138500</v>
      </c>
      <c r="E50" s="7" t="s">
        <v>152</v>
      </c>
      <c r="F50" s="7" t="s">
        <v>27</v>
      </c>
      <c r="G50" s="7" t="s">
        <v>24</v>
      </c>
      <c r="H50" s="7" t="str">
        <f t="shared" si="0"/>
        <v>noviembre 2025</v>
      </c>
    </row>
    <row r="51" spans="1:8" ht="22.5" customHeight="1" x14ac:dyDescent="0.25">
      <c r="A51" s="8">
        <v>45987</v>
      </c>
      <c r="B51" s="7" t="s">
        <v>158</v>
      </c>
      <c r="C51" s="7" t="s">
        <v>41</v>
      </c>
      <c r="D51" s="7">
        <v>136600</v>
      </c>
      <c r="E51" s="7" t="s">
        <v>58</v>
      </c>
      <c r="F51" s="7" t="s">
        <v>27</v>
      </c>
      <c r="G51" s="7" t="s">
        <v>24</v>
      </c>
      <c r="H51" s="7" t="str">
        <f t="shared" si="0"/>
        <v>noviembre 2025</v>
      </c>
    </row>
    <row r="52" spans="1:8" ht="22.5" customHeight="1" x14ac:dyDescent="0.25">
      <c r="A52" s="8">
        <v>45991</v>
      </c>
      <c r="B52" s="7" t="s">
        <v>159</v>
      </c>
      <c r="C52" s="7" t="s">
        <v>20</v>
      </c>
      <c r="D52" s="7">
        <v>11590</v>
      </c>
      <c r="E52" s="7" t="s">
        <v>22</v>
      </c>
      <c r="F52" s="7" t="s">
        <v>24</v>
      </c>
      <c r="G52" s="7" t="s">
        <v>27</v>
      </c>
      <c r="H52" s="7" t="str">
        <f t="shared" si="0"/>
        <v>noviembre 2025</v>
      </c>
    </row>
    <row r="53" spans="1:8" ht="22.5" customHeight="1" x14ac:dyDescent="0.25">
      <c r="A53" s="8">
        <v>45994</v>
      </c>
      <c r="B53" s="7" t="s">
        <v>162</v>
      </c>
      <c r="C53" s="7" t="s">
        <v>41</v>
      </c>
      <c r="D53" s="7">
        <v>21000</v>
      </c>
      <c r="E53" s="7" t="s">
        <v>31</v>
      </c>
      <c r="F53" s="7" t="s">
        <v>27</v>
      </c>
      <c r="G53" s="7" t="s">
        <v>24</v>
      </c>
      <c r="H53" s="7" t="str">
        <f t="shared" si="0"/>
        <v>diciembre 2025</v>
      </c>
    </row>
    <row r="54" spans="1:8" ht="22.5" customHeight="1" x14ac:dyDescent="0.25">
      <c r="A54" s="8">
        <v>45995</v>
      </c>
      <c r="B54" s="7" t="s">
        <v>163</v>
      </c>
      <c r="C54" s="7" t="s">
        <v>20</v>
      </c>
      <c r="D54" s="7">
        <v>71000</v>
      </c>
      <c r="E54" s="7" t="s">
        <v>120</v>
      </c>
      <c r="F54" s="7" t="s">
        <v>24</v>
      </c>
      <c r="G54" s="7" t="s">
        <v>27</v>
      </c>
      <c r="H54" s="7" t="str">
        <f t="shared" si="0"/>
        <v>diciembre 2025</v>
      </c>
    </row>
    <row r="55" spans="1:8" ht="22.5" customHeight="1" x14ac:dyDescent="0.25">
      <c r="A55" s="8">
        <v>45995</v>
      </c>
      <c r="B55" s="7" t="s">
        <v>165</v>
      </c>
      <c r="C55" s="7" t="s">
        <v>41</v>
      </c>
      <c r="D55" s="7">
        <v>11800</v>
      </c>
      <c r="E55" s="7" t="s">
        <v>31</v>
      </c>
      <c r="F55" s="7" t="s">
        <v>27</v>
      </c>
      <c r="G55" s="7" t="s">
        <v>24</v>
      </c>
      <c r="H55" s="7" t="str">
        <f t="shared" si="0"/>
        <v>diciembre 2025</v>
      </c>
    </row>
    <row r="56" spans="1:8" ht="22.5" customHeight="1" x14ac:dyDescent="0.25">
      <c r="A56" s="8">
        <v>45995</v>
      </c>
      <c r="B56" s="7" t="s">
        <v>166</v>
      </c>
      <c r="C56" s="7" t="s">
        <v>41</v>
      </c>
      <c r="D56" s="7">
        <v>11000</v>
      </c>
      <c r="E56" s="7" t="s">
        <v>58</v>
      </c>
      <c r="F56" s="7" t="s">
        <v>27</v>
      </c>
      <c r="G56" s="7" t="s">
        <v>24</v>
      </c>
      <c r="H56" s="7" t="str">
        <f t="shared" si="0"/>
        <v>diciembre 2025</v>
      </c>
    </row>
    <row r="57" spans="1:8" ht="22.5" customHeight="1" x14ac:dyDescent="0.25">
      <c r="A57" s="8">
        <v>45995</v>
      </c>
      <c r="B57" s="7" t="s">
        <v>112</v>
      </c>
      <c r="C57" s="7" t="s">
        <v>41</v>
      </c>
      <c r="D57" s="7">
        <v>200000</v>
      </c>
      <c r="E57" s="7" t="s">
        <v>113</v>
      </c>
      <c r="F57" s="7" t="s">
        <v>27</v>
      </c>
      <c r="G57" s="7" t="s">
        <v>24</v>
      </c>
      <c r="H57" s="7" t="str">
        <f t="shared" si="0"/>
        <v>diciembre 2025</v>
      </c>
    </row>
    <row r="58" spans="1:8" ht="22.5" customHeight="1" x14ac:dyDescent="0.25">
      <c r="A58" s="8">
        <v>45995</v>
      </c>
      <c r="B58" s="7" t="s">
        <v>171</v>
      </c>
      <c r="C58" s="7" t="s">
        <v>41</v>
      </c>
      <c r="D58" s="7">
        <v>75000</v>
      </c>
      <c r="E58" s="7" t="s">
        <v>145</v>
      </c>
      <c r="F58" s="7" t="s">
        <v>27</v>
      </c>
      <c r="G58" s="7" t="s">
        <v>24</v>
      </c>
      <c r="H58" s="7" t="str">
        <f t="shared" si="0"/>
        <v>diciembre 2025</v>
      </c>
    </row>
    <row r="59" spans="1:8" ht="22.5" customHeight="1" x14ac:dyDescent="0.25">
      <c r="A59" s="8">
        <v>45995</v>
      </c>
      <c r="B59" s="7" t="s">
        <v>172</v>
      </c>
      <c r="C59" s="7" t="s">
        <v>41</v>
      </c>
      <c r="D59" s="7">
        <v>47500</v>
      </c>
      <c r="E59" s="7" t="s">
        <v>58</v>
      </c>
      <c r="F59" s="7" t="s">
        <v>27</v>
      </c>
      <c r="G59" s="7" t="s">
        <v>24</v>
      </c>
      <c r="H59" s="7" t="str">
        <f t="shared" si="0"/>
        <v>diciembre 2025</v>
      </c>
    </row>
    <row r="60" spans="1:8" ht="22.5" customHeight="1" x14ac:dyDescent="0.25">
      <c r="A60" s="8">
        <v>45995</v>
      </c>
      <c r="B60" s="7" t="s">
        <v>173</v>
      </c>
      <c r="C60" s="7" t="s">
        <v>41</v>
      </c>
      <c r="D60" s="7">
        <v>147727.75</v>
      </c>
      <c r="E60" s="7" t="s">
        <v>84</v>
      </c>
      <c r="F60" s="7" t="s">
        <v>27</v>
      </c>
      <c r="G60" s="7" t="s">
        <v>24</v>
      </c>
      <c r="H60" s="7" t="str">
        <f t="shared" si="0"/>
        <v>diciembre 2025</v>
      </c>
    </row>
    <row r="61" spans="1:8" ht="22.5" customHeight="1" x14ac:dyDescent="0.25">
      <c r="A61" s="8">
        <v>45995</v>
      </c>
      <c r="B61" s="7" t="s">
        <v>175</v>
      </c>
      <c r="C61" s="7" t="s">
        <v>41</v>
      </c>
      <c r="D61" s="7">
        <v>375000</v>
      </c>
      <c r="E61" s="7" t="s">
        <v>50</v>
      </c>
      <c r="F61" s="7" t="s">
        <v>27</v>
      </c>
      <c r="G61" s="7" t="s">
        <v>24</v>
      </c>
      <c r="H61" s="7" t="str">
        <f t="shared" si="0"/>
        <v>diciembre 2025</v>
      </c>
    </row>
    <row r="62" spans="1:8" ht="22.5" customHeight="1" x14ac:dyDescent="0.25">
      <c r="A62" s="8">
        <v>45995</v>
      </c>
      <c r="B62" s="7" t="s">
        <v>76</v>
      </c>
      <c r="C62" s="7" t="s">
        <v>41</v>
      </c>
      <c r="D62" s="7">
        <v>70000</v>
      </c>
      <c r="E62" s="7" t="s">
        <v>76</v>
      </c>
      <c r="F62" s="7" t="s">
        <v>27</v>
      </c>
      <c r="G62" s="7" t="s">
        <v>24</v>
      </c>
      <c r="H62" s="7" t="str">
        <f t="shared" si="0"/>
        <v>diciembre 2025</v>
      </c>
    </row>
    <row r="63" spans="1:8" ht="22.5" customHeight="1" x14ac:dyDescent="0.25">
      <c r="A63" s="8">
        <v>45995</v>
      </c>
      <c r="B63" s="7" t="s">
        <v>177</v>
      </c>
      <c r="C63" s="7" t="s">
        <v>41</v>
      </c>
      <c r="D63" s="7">
        <v>17000</v>
      </c>
      <c r="E63" s="7" t="s">
        <v>58</v>
      </c>
      <c r="F63" s="7" t="s">
        <v>27</v>
      </c>
      <c r="G63" s="7" t="s">
        <v>24</v>
      </c>
      <c r="H63" s="7" t="str">
        <f t="shared" si="0"/>
        <v>diciembre 2025</v>
      </c>
    </row>
    <row r="64" spans="1:8" ht="22.5" customHeight="1" x14ac:dyDescent="0.25">
      <c r="A64" s="8">
        <v>45996</v>
      </c>
      <c r="B64" s="7" t="s">
        <v>178</v>
      </c>
      <c r="C64" s="7" t="s">
        <v>20</v>
      </c>
      <c r="D64" s="7">
        <v>2111000</v>
      </c>
      <c r="E64" s="7" t="s">
        <v>0</v>
      </c>
      <c r="F64" s="7" t="s">
        <v>24</v>
      </c>
      <c r="G64" s="7" t="s">
        <v>27</v>
      </c>
      <c r="H64" s="7" t="str">
        <f t="shared" si="0"/>
        <v>diciembre 2025</v>
      </c>
    </row>
    <row r="65" spans="1:8" ht="22.5" customHeight="1" x14ac:dyDescent="0.25">
      <c r="A65" s="8">
        <v>45997</v>
      </c>
      <c r="B65" s="7" t="s">
        <v>179</v>
      </c>
      <c r="C65" s="7" t="s">
        <v>41</v>
      </c>
      <c r="D65" s="7">
        <v>10000</v>
      </c>
      <c r="E65" s="7" t="s">
        <v>180</v>
      </c>
      <c r="F65" s="7" t="s">
        <v>27</v>
      </c>
      <c r="G65" s="7" t="s">
        <v>24</v>
      </c>
      <c r="H65" s="7" t="str">
        <f t="shared" si="0"/>
        <v>diciembre 2025</v>
      </c>
    </row>
    <row r="66" spans="1:8" ht="22.5" customHeight="1" x14ac:dyDescent="0.25">
      <c r="A66" s="8">
        <v>45997</v>
      </c>
      <c r="B66" s="7" t="s">
        <v>181</v>
      </c>
      <c r="C66" s="7" t="s">
        <v>41</v>
      </c>
      <c r="D66" s="7">
        <v>12000</v>
      </c>
      <c r="E66" s="7" t="s">
        <v>180</v>
      </c>
      <c r="F66" s="7" t="s">
        <v>27</v>
      </c>
      <c r="G66" s="7" t="s">
        <v>24</v>
      </c>
      <c r="H66" s="7" t="str">
        <f t="shared" si="0"/>
        <v>diciembre 2025</v>
      </c>
    </row>
    <row r="67" spans="1:8" ht="22.5" customHeight="1" x14ac:dyDescent="0.25">
      <c r="A67" s="8">
        <v>45999</v>
      </c>
      <c r="B67" s="7" t="s">
        <v>182</v>
      </c>
      <c r="C67" s="7" t="s">
        <v>41</v>
      </c>
      <c r="D67" s="7">
        <v>44400</v>
      </c>
      <c r="E67" s="7" t="s">
        <v>180</v>
      </c>
      <c r="F67" s="7" t="s">
        <v>27</v>
      </c>
      <c r="G67" s="7" t="s">
        <v>24</v>
      </c>
      <c r="H67" s="7" t="str">
        <f t="shared" si="0"/>
        <v>diciembre 2025</v>
      </c>
    </row>
    <row r="68" spans="1:8" ht="22.5" customHeight="1" x14ac:dyDescent="0.25">
      <c r="A68" s="8">
        <v>46000</v>
      </c>
      <c r="B68" s="7" t="s">
        <v>118</v>
      </c>
      <c r="C68" s="7" t="s">
        <v>20</v>
      </c>
      <c r="D68" s="7">
        <v>68120</v>
      </c>
      <c r="E68" s="7" t="s">
        <v>120</v>
      </c>
      <c r="F68" s="7" t="s">
        <v>24</v>
      </c>
      <c r="G68" s="7" t="s">
        <v>27</v>
      </c>
      <c r="H68" s="7" t="str">
        <f t="shared" si="0"/>
        <v>diciembre 2025</v>
      </c>
    </row>
    <row r="69" spans="1:8" ht="22.5" customHeight="1" x14ac:dyDescent="0.25">
      <c r="A69" s="8">
        <v>46000</v>
      </c>
      <c r="B69" s="7" t="s">
        <v>118</v>
      </c>
      <c r="C69" s="7" t="s">
        <v>20</v>
      </c>
      <c r="D69" s="7">
        <v>30400</v>
      </c>
      <c r="E69" s="7" t="s">
        <v>120</v>
      </c>
      <c r="F69" s="7" t="s">
        <v>24</v>
      </c>
      <c r="G69" s="7" t="s">
        <v>27</v>
      </c>
      <c r="H69" s="7" t="str">
        <f t="shared" si="0"/>
        <v>diciembre 2025</v>
      </c>
    </row>
    <row r="70" spans="1:8" ht="22.5" customHeight="1" x14ac:dyDescent="0.25">
      <c r="A70" s="8">
        <v>46000</v>
      </c>
      <c r="B70" s="7" t="s">
        <v>183</v>
      </c>
      <c r="C70" s="7" t="s">
        <v>41</v>
      </c>
      <c r="D70" s="7">
        <v>1000</v>
      </c>
      <c r="E70" s="7" t="s">
        <v>180</v>
      </c>
      <c r="F70" s="7" t="s">
        <v>27</v>
      </c>
      <c r="G70" s="7" t="s">
        <v>24</v>
      </c>
      <c r="H70" s="7" t="str">
        <f t="shared" si="0"/>
        <v>diciembre 2025</v>
      </c>
    </row>
    <row r="71" spans="1:8" ht="22.5" customHeight="1" x14ac:dyDescent="0.25">
      <c r="A71" s="8">
        <v>46002</v>
      </c>
      <c r="B71" s="7" t="s">
        <v>185</v>
      </c>
      <c r="C71" s="7" t="s">
        <v>41</v>
      </c>
      <c r="D71" s="7">
        <v>8000</v>
      </c>
      <c r="E71" s="7" t="s">
        <v>180</v>
      </c>
      <c r="F71" s="7" t="s">
        <v>27</v>
      </c>
      <c r="G71" s="7" t="s">
        <v>24</v>
      </c>
      <c r="H71" s="7" t="str">
        <f t="shared" si="0"/>
        <v>diciembre 2025</v>
      </c>
    </row>
    <row r="72" spans="1:8" ht="22.5" customHeight="1" x14ac:dyDescent="0.25">
      <c r="A72" s="8">
        <v>46003</v>
      </c>
      <c r="B72" s="7" t="s">
        <v>76</v>
      </c>
      <c r="C72" s="7" t="s">
        <v>41</v>
      </c>
      <c r="D72" s="7">
        <v>45000</v>
      </c>
      <c r="E72" s="7" t="s">
        <v>76</v>
      </c>
      <c r="F72" s="7" t="s">
        <v>27</v>
      </c>
      <c r="G72" s="7" t="s">
        <v>24</v>
      </c>
      <c r="H72" s="7" t="str">
        <f t="shared" si="0"/>
        <v>diciembre 2025</v>
      </c>
    </row>
    <row r="73" spans="1:8" ht="22.5" customHeight="1" x14ac:dyDescent="0.25">
      <c r="A73" s="8">
        <v>46003</v>
      </c>
      <c r="B73" s="7" t="s">
        <v>140</v>
      </c>
      <c r="C73" s="7" t="s">
        <v>41</v>
      </c>
      <c r="D73" s="7">
        <v>20000</v>
      </c>
      <c r="E73" s="7" t="s">
        <v>187</v>
      </c>
      <c r="F73" s="7" t="s">
        <v>27</v>
      </c>
      <c r="G73" s="7" t="s">
        <v>24</v>
      </c>
      <c r="H73" s="7" t="str">
        <f t="shared" si="0"/>
        <v>diciembre 2025</v>
      </c>
    </row>
    <row r="74" spans="1:8" ht="22.5" customHeight="1" x14ac:dyDescent="0.25">
      <c r="A74" s="8">
        <v>46010</v>
      </c>
      <c r="B74" s="7" t="s">
        <v>158</v>
      </c>
      <c r="C74" s="7" t="s">
        <v>41</v>
      </c>
      <c r="D74" s="7">
        <v>107300</v>
      </c>
      <c r="E74" s="7" t="s">
        <v>58</v>
      </c>
      <c r="F74" s="7" t="s">
        <v>27</v>
      </c>
      <c r="G74" s="7" t="s">
        <v>24</v>
      </c>
      <c r="H74" s="7" t="str">
        <f t="shared" si="0"/>
        <v>diciembre 2025</v>
      </c>
    </row>
    <row r="75" spans="1:8" ht="22.5" customHeight="1" x14ac:dyDescent="0.25">
      <c r="A75" s="8">
        <v>46010</v>
      </c>
      <c r="B75" s="7" t="s">
        <v>188</v>
      </c>
      <c r="C75" s="7" t="s">
        <v>41</v>
      </c>
      <c r="D75" s="7">
        <v>18400</v>
      </c>
      <c r="E75" s="7" t="s">
        <v>58</v>
      </c>
      <c r="F75" s="7" t="s">
        <v>27</v>
      </c>
      <c r="G75" s="7" t="s">
        <v>24</v>
      </c>
      <c r="H75" s="7" t="str">
        <f t="shared" si="0"/>
        <v>diciembre 2025</v>
      </c>
    </row>
    <row r="76" spans="1:8" ht="22.5" customHeight="1" x14ac:dyDescent="0.25">
      <c r="A76" s="8">
        <v>46010</v>
      </c>
      <c r="B76" s="7" t="s">
        <v>76</v>
      </c>
      <c r="C76" s="7" t="s">
        <v>41</v>
      </c>
      <c r="D76" s="7">
        <v>35000</v>
      </c>
      <c r="E76" s="7" t="s">
        <v>76</v>
      </c>
      <c r="F76" s="7" t="s">
        <v>27</v>
      </c>
      <c r="G76" s="7" t="s">
        <v>24</v>
      </c>
      <c r="H76" s="7" t="str">
        <f t="shared" si="0"/>
        <v>diciembre 2025</v>
      </c>
    </row>
    <row r="77" spans="1:8" ht="22.5" customHeight="1" x14ac:dyDescent="0.25">
      <c r="A77" s="8">
        <v>46010</v>
      </c>
      <c r="B77" s="7" t="s">
        <v>190</v>
      </c>
      <c r="C77" s="7" t="s">
        <v>20</v>
      </c>
      <c r="D77" s="7">
        <v>1037000</v>
      </c>
      <c r="E77" s="7" t="s">
        <v>0</v>
      </c>
      <c r="F77" s="7" t="s">
        <v>24</v>
      </c>
      <c r="G77" s="7" t="s">
        <v>27</v>
      </c>
      <c r="H77" s="7" t="str">
        <f t="shared" si="0"/>
        <v>diciembre 2025</v>
      </c>
    </row>
    <row r="78" spans="1:8" ht="22.5" customHeight="1" x14ac:dyDescent="0.25">
      <c r="A78" s="8">
        <v>46010</v>
      </c>
      <c r="B78" s="7" t="s">
        <v>191</v>
      </c>
      <c r="C78" s="7" t="s">
        <v>41</v>
      </c>
      <c r="D78" s="7">
        <v>15000</v>
      </c>
      <c r="E78" s="7" t="s">
        <v>187</v>
      </c>
      <c r="F78" s="7" t="s">
        <v>27</v>
      </c>
      <c r="G78" s="7" t="s">
        <v>24</v>
      </c>
      <c r="H78" s="7" t="str">
        <f t="shared" si="0"/>
        <v>diciembre 2025</v>
      </c>
    </row>
    <row r="79" spans="1:8" ht="22.5" customHeight="1" x14ac:dyDescent="0.25">
      <c r="A79" s="8">
        <v>46012</v>
      </c>
      <c r="B79" s="7" t="s">
        <v>192</v>
      </c>
      <c r="C79" s="7" t="s">
        <v>20</v>
      </c>
      <c r="D79" s="7">
        <v>44000</v>
      </c>
      <c r="E79" s="7" t="s">
        <v>33</v>
      </c>
      <c r="F79" s="7" t="s">
        <v>24</v>
      </c>
      <c r="G79" s="7" t="s">
        <v>27</v>
      </c>
      <c r="H79" s="7" t="str">
        <f t="shared" si="0"/>
        <v>diciembre 2025</v>
      </c>
    </row>
    <row r="80" spans="1:8" ht="22.5" customHeight="1" x14ac:dyDescent="0.25">
      <c r="A80" s="8">
        <v>46012</v>
      </c>
      <c r="B80" s="7" t="s">
        <v>193</v>
      </c>
      <c r="C80" s="7" t="s">
        <v>41</v>
      </c>
      <c r="D80" s="7">
        <v>60000</v>
      </c>
      <c r="E80" s="7" t="s">
        <v>180</v>
      </c>
      <c r="F80" s="7" t="s">
        <v>27</v>
      </c>
      <c r="G80" s="7" t="s">
        <v>24</v>
      </c>
      <c r="H80" s="7" t="str">
        <f t="shared" si="0"/>
        <v>diciembre 2025</v>
      </c>
    </row>
    <row r="81" spans="1:8" ht="22.5" customHeight="1" x14ac:dyDescent="0.25">
      <c r="A81" s="8">
        <v>46012</v>
      </c>
      <c r="B81" s="7" t="s">
        <v>194</v>
      </c>
      <c r="C81" s="7" t="s">
        <v>20</v>
      </c>
      <c r="D81" s="7">
        <v>69000</v>
      </c>
      <c r="E81" s="7" t="s">
        <v>33</v>
      </c>
      <c r="F81" s="7" t="s">
        <v>24</v>
      </c>
      <c r="G81" s="7" t="s">
        <v>27</v>
      </c>
      <c r="H81" s="7" t="str">
        <f t="shared" si="0"/>
        <v>diciembre 2025</v>
      </c>
    </row>
    <row r="82" spans="1:8" ht="22.5" customHeight="1" x14ac:dyDescent="0.25">
      <c r="A82" s="8">
        <v>46012</v>
      </c>
      <c r="B82" s="7" t="s">
        <v>195</v>
      </c>
      <c r="C82" s="7" t="s">
        <v>41</v>
      </c>
      <c r="D82" s="7">
        <v>100000</v>
      </c>
      <c r="E82" s="7" t="s">
        <v>113</v>
      </c>
      <c r="F82" s="7" t="s">
        <v>27</v>
      </c>
      <c r="G82" s="7" t="s">
        <v>24</v>
      </c>
      <c r="H82" s="7" t="str">
        <f t="shared" si="0"/>
        <v>diciembre 2025</v>
      </c>
    </row>
    <row r="83" spans="1:8" ht="22.5" customHeight="1" x14ac:dyDescent="0.25">
      <c r="A83" s="8">
        <v>46012</v>
      </c>
      <c r="B83" s="7" t="s">
        <v>197</v>
      </c>
      <c r="C83" s="7" t="s">
        <v>41</v>
      </c>
      <c r="D83" s="7">
        <v>100000</v>
      </c>
      <c r="E83" s="7" t="s">
        <v>50</v>
      </c>
      <c r="F83" s="7" t="s">
        <v>27</v>
      </c>
      <c r="G83" s="7" t="s">
        <v>24</v>
      </c>
      <c r="H83" s="7" t="str">
        <f t="shared" si="0"/>
        <v>diciembre 2025</v>
      </c>
    </row>
    <row r="84" spans="1:8" ht="22.5" customHeight="1" x14ac:dyDescent="0.25">
      <c r="A84" s="8">
        <v>46013</v>
      </c>
      <c r="B84" s="7" t="s">
        <v>76</v>
      </c>
      <c r="C84" s="7" t="s">
        <v>41</v>
      </c>
      <c r="D84" s="7">
        <v>67000</v>
      </c>
      <c r="E84" s="7" t="s">
        <v>76</v>
      </c>
      <c r="F84" s="7" t="s">
        <v>27</v>
      </c>
      <c r="G84" s="7" t="s">
        <v>24</v>
      </c>
      <c r="H84" s="7" t="str">
        <f t="shared" si="0"/>
        <v>diciembre 2025</v>
      </c>
    </row>
    <row r="85" spans="1:8" ht="22.5" customHeight="1" x14ac:dyDescent="0.25">
      <c r="A85" s="8">
        <v>46013</v>
      </c>
      <c r="B85" s="7" t="s">
        <v>199</v>
      </c>
      <c r="C85" s="7" t="s">
        <v>20</v>
      </c>
      <c r="D85" s="7">
        <v>340900</v>
      </c>
      <c r="E85" s="7" t="s">
        <v>33</v>
      </c>
      <c r="F85" s="7" t="s">
        <v>24</v>
      </c>
      <c r="G85" s="7" t="s">
        <v>27</v>
      </c>
      <c r="H85" s="7" t="str">
        <f t="shared" si="0"/>
        <v>diciembre 2025</v>
      </c>
    </row>
    <row r="86" spans="1:8" ht="22.5" customHeight="1" x14ac:dyDescent="0.25">
      <c r="A86" s="8">
        <v>46015</v>
      </c>
      <c r="B86" s="7" t="s">
        <v>201</v>
      </c>
      <c r="C86" s="7" t="s">
        <v>41</v>
      </c>
      <c r="D86" s="7">
        <v>50000</v>
      </c>
      <c r="E86" s="7" t="s">
        <v>180</v>
      </c>
      <c r="F86" s="7" t="s">
        <v>27</v>
      </c>
      <c r="G86" s="7" t="s">
        <v>24</v>
      </c>
      <c r="H86" s="7" t="str">
        <f t="shared" si="0"/>
        <v>diciembre 2025</v>
      </c>
    </row>
    <row r="87" spans="1:8" ht="22.5" customHeight="1" x14ac:dyDescent="0.25">
      <c r="A87" s="8">
        <v>46017</v>
      </c>
      <c r="B87" s="7" t="s">
        <v>202</v>
      </c>
      <c r="C87" s="7" t="s">
        <v>41</v>
      </c>
      <c r="D87" s="7">
        <v>26000</v>
      </c>
      <c r="E87" s="7" t="s">
        <v>31</v>
      </c>
      <c r="F87" s="7" t="s">
        <v>27</v>
      </c>
      <c r="G87" s="7" t="s">
        <v>24</v>
      </c>
      <c r="H87" s="7" t="str">
        <f t="shared" si="0"/>
        <v>diciembre 2025</v>
      </c>
    </row>
    <row r="88" spans="1:8" ht="22.5" customHeight="1" x14ac:dyDescent="0.25">
      <c r="A88" s="8">
        <v>46017</v>
      </c>
      <c r="B88" s="7" t="s">
        <v>204</v>
      </c>
      <c r="C88" s="7" t="s">
        <v>41</v>
      </c>
      <c r="D88" s="7">
        <v>25000</v>
      </c>
      <c r="E88" s="7" t="s">
        <v>31</v>
      </c>
      <c r="F88" s="7" t="s">
        <v>27</v>
      </c>
      <c r="G88" s="7" t="s">
        <v>24</v>
      </c>
      <c r="H88" s="7" t="str">
        <f t="shared" si="0"/>
        <v>diciembre 2025</v>
      </c>
    </row>
    <row r="89" spans="1:8" ht="22.5" customHeight="1" x14ac:dyDescent="0.25">
      <c r="A89" s="8">
        <v>46017</v>
      </c>
      <c r="B89" s="7" t="s">
        <v>205</v>
      </c>
      <c r="C89" s="7" t="s">
        <v>41</v>
      </c>
      <c r="D89" s="7">
        <v>25500</v>
      </c>
      <c r="E89" s="7" t="s">
        <v>180</v>
      </c>
      <c r="F89" s="7" t="s">
        <v>27</v>
      </c>
      <c r="G89" s="7" t="s">
        <v>24</v>
      </c>
      <c r="H89" s="7" t="str">
        <f t="shared" si="0"/>
        <v>diciembre 2025</v>
      </c>
    </row>
    <row r="90" spans="1:8" ht="22.5" customHeight="1" x14ac:dyDescent="0.25">
      <c r="A90" s="8">
        <v>46018</v>
      </c>
      <c r="B90" s="7" t="s">
        <v>206</v>
      </c>
      <c r="C90" s="7" t="s">
        <v>41</v>
      </c>
      <c r="D90" s="7">
        <v>100000</v>
      </c>
      <c r="E90" s="7" t="s">
        <v>72</v>
      </c>
      <c r="F90" s="7" t="s">
        <v>27</v>
      </c>
      <c r="G90" s="7" t="s">
        <v>24</v>
      </c>
      <c r="H90" s="7" t="str">
        <f t="shared" si="0"/>
        <v>diciembre 2025</v>
      </c>
    </row>
    <row r="91" spans="1:8" ht="22.5" customHeight="1" x14ac:dyDescent="0.25">
      <c r="A91" s="8">
        <v>46018</v>
      </c>
      <c r="B91" s="7" t="s">
        <v>207</v>
      </c>
      <c r="C91" s="7" t="s">
        <v>41</v>
      </c>
      <c r="D91" s="7">
        <v>20300</v>
      </c>
      <c r="E91" s="7" t="s">
        <v>180</v>
      </c>
      <c r="F91" s="7" t="s">
        <v>27</v>
      </c>
      <c r="G91" s="7" t="s">
        <v>24</v>
      </c>
      <c r="H91" s="7" t="str">
        <f t="shared" si="0"/>
        <v>diciembre 2025</v>
      </c>
    </row>
    <row r="92" spans="1:8" ht="22.5" customHeight="1" x14ac:dyDescent="0.25">
      <c r="A92" s="8">
        <v>46018</v>
      </c>
      <c r="B92" s="7" t="s">
        <v>208</v>
      </c>
      <c r="C92" s="7" t="s">
        <v>41</v>
      </c>
      <c r="D92" s="7">
        <v>36800</v>
      </c>
      <c r="E92" s="7" t="s">
        <v>180</v>
      </c>
      <c r="F92" s="7" t="s">
        <v>27</v>
      </c>
      <c r="G92" s="7" t="s">
        <v>24</v>
      </c>
      <c r="H92" s="7" t="str">
        <f t="shared" si="0"/>
        <v>diciembre 2025</v>
      </c>
    </row>
    <row r="93" spans="1:8" ht="22.5" customHeight="1" x14ac:dyDescent="0.25">
      <c r="A93" s="8">
        <v>46018</v>
      </c>
      <c r="B93" s="7" t="s">
        <v>210</v>
      </c>
      <c r="C93" s="7" t="s">
        <v>41</v>
      </c>
      <c r="D93" s="7">
        <v>28300</v>
      </c>
      <c r="E93" s="7" t="s">
        <v>180</v>
      </c>
      <c r="F93" s="7" t="s">
        <v>27</v>
      </c>
      <c r="G93" s="7" t="s">
        <v>24</v>
      </c>
      <c r="H93" s="7" t="str">
        <f t="shared" si="0"/>
        <v>diciembre 2025</v>
      </c>
    </row>
    <row r="94" spans="1:8" ht="22.5" customHeight="1" x14ac:dyDescent="0.25">
      <c r="A94" s="8">
        <v>46018</v>
      </c>
      <c r="B94" s="7" t="s">
        <v>33</v>
      </c>
      <c r="C94" s="7" t="s">
        <v>41</v>
      </c>
      <c r="D94" s="7">
        <v>8000</v>
      </c>
      <c r="E94" s="7" t="s">
        <v>31</v>
      </c>
      <c r="F94" s="7" t="s">
        <v>27</v>
      </c>
      <c r="G94" s="7" t="s">
        <v>24</v>
      </c>
      <c r="H94" s="7" t="str">
        <f t="shared" si="0"/>
        <v>diciembre 2025</v>
      </c>
    </row>
    <row r="95" spans="1:8" ht="22.5" customHeight="1" x14ac:dyDescent="0.25">
      <c r="A95" s="8">
        <v>46019</v>
      </c>
      <c r="B95" s="7" t="s">
        <v>76</v>
      </c>
      <c r="C95" s="7" t="s">
        <v>41</v>
      </c>
      <c r="D95" s="7">
        <v>23000</v>
      </c>
      <c r="E95" s="7" t="s">
        <v>76</v>
      </c>
      <c r="F95" s="7" t="s">
        <v>27</v>
      </c>
      <c r="G95" s="7" t="s">
        <v>24</v>
      </c>
      <c r="H95" s="7" t="str">
        <f t="shared" si="0"/>
        <v>diciembre 2025</v>
      </c>
    </row>
    <row r="96" spans="1:8" ht="22.5" customHeight="1" x14ac:dyDescent="0.25">
      <c r="A96" s="8">
        <v>46019</v>
      </c>
      <c r="B96" s="7" t="s">
        <v>211</v>
      </c>
      <c r="C96" s="7" t="s">
        <v>41</v>
      </c>
      <c r="D96" s="7">
        <v>13600</v>
      </c>
      <c r="E96" s="7" t="s">
        <v>180</v>
      </c>
      <c r="F96" s="7" t="s">
        <v>27</v>
      </c>
      <c r="G96" s="7" t="s">
        <v>24</v>
      </c>
      <c r="H96" s="7" t="str">
        <f t="shared" si="0"/>
        <v>diciembre 2025</v>
      </c>
    </row>
    <row r="97" spans="1:8" ht="22.5" customHeight="1" x14ac:dyDescent="0.25">
      <c r="A97" s="8">
        <v>46020</v>
      </c>
      <c r="B97" s="7" t="s">
        <v>212</v>
      </c>
      <c r="C97" s="7" t="s">
        <v>41</v>
      </c>
      <c r="D97" s="7">
        <v>9100</v>
      </c>
      <c r="E97" s="7" t="s">
        <v>31</v>
      </c>
      <c r="F97" s="7" t="s">
        <v>27</v>
      </c>
      <c r="G97" s="7" t="s">
        <v>24</v>
      </c>
      <c r="H97" s="7" t="str">
        <f t="shared" si="0"/>
        <v>diciembre 2025</v>
      </c>
    </row>
    <row r="98" spans="1:8" ht="22.5" customHeight="1" x14ac:dyDescent="0.25">
      <c r="A98" s="8">
        <v>46020</v>
      </c>
      <c r="B98" s="7" t="s">
        <v>213</v>
      </c>
      <c r="C98" s="7" t="s">
        <v>20</v>
      </c>
      <c r="D98" s="7">
        <v>100000</v>
      </c>
      <c r="E98" s="7" t="s">
        <v>0</v>
      </c>
      <c r="F98" s="7" t="s">
        <v>24</v>
      </c>
      <c r="G98" s="7" t="s">
        <v>27</v>
      </c>
      <c r="H98" s="7" t="str">
        <f t="shared" si="0"/>
        <v>diciembre 2025</v>
      </c>
    </row>
    <row r="99" spans="1:8" ht="22.5" customHeight="1" x14ac:dyDescent="0.25">
      <c r="A99" s="8">
        <v>46020</v>
      </c>
      <c r="B99" s="7" t="s">
        <v>214</v>
      </c>
      <c r="C99" s="7" t="s">
        <v>41</v>
      </c>
      <c r="D99" s="7">
        <v>183316</v>
      </c>
      <c r="E99" s="7" t="s">
        <v>84</v>
      </c>
      <c r="F99" s="7" t="s">
        <v>27</v>
      </c>
      <c r="G99" s="7" t="s">
        <v>24</v>
      </c>
      <c r="H99" s="7" t="str">
        <f t="shared" si="0"/>
        <v>diciembre 2025</v>
      </c>
    </row>
    <row r="100" spans="1:8" ht="22.5" customHeight="1" x14ac:dyDescent="0.25">
      <c r="A100" s="8">
        <v>46020</v>
      </c>
      <c r="B100" s="7" t="s">
        <v>215</v>
      </c>
      <c r="C100" s="7" t="s">
        <v>41</v>
      </c>
      <c r="D100" s="7">
        <v>60000</v>
      </c>
      <c r="E100" s="7" t="s">
        <v>187</v>
      </c>
      <c r="F100" s="7" t="s">
        <v>27</v>
      </c>
      <c r="G100" s="7" t="s">
        <v>24</v>
      </c>
      <c r="H100" s="7" t="str">
        <f t="shared" si="0"/>
        <v>diciembre 2025</v>
      </c>
    </row>
    <row r="101" spans="1:8" ht="22.5" customHeight="1" x14ac:dyDescent="0.25">
      <c r="A101" s="8">
        <v>46020</v>
      </c>
      <c r="B101" s="7" t="s">
        <v>216</v>
      </c>
      <c r="C101" s="7" t="s">
        <v>41</v>
      </c>
      <c r="D101" s="7">
        <v>10000</v>
      </c>
      <c r="E101" s="7" t="s">
        <v>31</v>
      </c>
      <c r="F101" s="7" t="s">
        <v>27</v>
      </c>
      <c r="G101" s="7" t="s">
        <v>24</v>
      </c>
      <c r="H101" s="7" t="str">
        <f t="shared" si="0"/>
        <v>diciembre 2025</v>
      </c>
    </row>
    <row r="102" spans="1:8" ht="22.5" customHeight="1" x14ac:dyDescent="0.25">
      <c r="A102" s="8">
        <v>46022</v>
      </c>
      <c r="B102" s="7" t="s">
        <v>217</v>
      </c>
      <c r="C102" s="7" t="s">
        <v>41</v>
      </c>
      <c r="D102" s="7">
        <v>50000</v>
      </c>
      <c r="E102" s="7" t="s">
        <v>180</v>
      </c>
      <c r="F102" s="7" t="s">
        <v>27</v>
      </c>
      <c r="G102" s="7" t="s">
        <v>24</v>
      </c>
      <c r="H102" s="7" t="str">
        <f t="shared" si="0"/>
        <v>diciembre 2025</v>
      </c>
    </row>
    <row r="103" spans="1:8" ht="22.5" customHeight="1" x14ac:dyDescent="0.25">
      <c r="A103" s="8">
        <v>46022</v>
      </c>
      <c r="B103" s="7" t="s">
        <v>218</v>
      </c>
      <c r="C103" s="7" t="s">
        <v>41</v>
      </c>
      <c r="D103" s="7">
        <v>30000</v>
      </c>
      <c r="E103" s="7" t="s">
        <v>180</v>
      </c>
      <c r="F103" s="7" t="s">
        <v>27</v>
      </c>
      <c r="G103" s="7" t="s">
        <v>24</v>
      </c>
      <c r="H103" s="7" t="str">
        <f t="shared" si="0"/>
        <v>diciembre 2025</v>
      </c>
    </row>
    <row r="104" spans="1:8" ht="22.5" customHeight="1" x14ac:dyDescent="0.25">
      <c r="A104" s="8">
        <v>46022</v>
      </c>
      <c r="B104" s="7" t="s">
        <v>76</v>
      </c>
      <c r="C104" s="7" t="s">
        <v>41</v>
      </c>
      <c r="D104" s="7">
        <v>75000</v>
      </c>
      <c r="E104" s="7" t="s">
        <v>76</v>
      </c>
      <c r="F104" s="7" t="s">
        <v>27</v>
      </c>
      <c r="G104" s="7" t="s">
        <v>24</v>
      </c>
      <c r="H104" s="7" t="str">
        <f t="shared" si="0"/>
        <v>diciembre 2025</v>
      </c>
    </row>
    <row r="105" spans="1:8" ht="22.5" customHeight="1" x14ac:dyDescent="0.25">
      <c r="A105" s="8">
        <v>46024</v>
      </c>
      <c r="B105" s="7" t="s">
        <v>219</v>
      </c>
      <c r="C105" s="7" t="s">
        <v>41</v>
      </c>
      <c r="D105" s="7">
        <v>46500</v>
      </c>
      <c r="E105" s="7" t="s">
        <v>187</v>
      </c>
      <c r="F105" s="7" t="s">
        <v>27</v>
      </c>
      <c r="G105" s="7" t="s">
        <v>24</v>
      </c>
      <c r="H105" s="7" t="str">
        <f t="shared" si="0"/>
        <v>enero 2026</v>
      </c>
    </row>
    <row r="106" spans="1:8" ht="22.5" customHeight="1" x14ac:dyDescent="0.25">
      <c r="A106" s="8">
        <v>46024</v>
      </c>
      <c r="B106" s="7" t="s">
        <v>221</v>
      </c>
      <c r="C106" s="7" t="s">
        <v>41</v>
      </c>
      <c r="D106" s="7">
        <v>60000</v>
      </c>
      <c r="E106" s="7" t="s">
        <v>31</v>
      </c>
      <c r="F106" s="7" t="s">
        <v>27</v>
      </c>
      <c r="G106" s="7" t="s">
        <v>24</v>
      </c>
      <c r="H106" s="7" t="str">
        <f t="shared" si="0"/>
        <v>enero 2026</v>
      </c>
    </row>
    <row r="107" spans="1:8" ht="22.5" customHeight="1" x14ac:dyDescent="0.25">
      <c r="A107" s="8">
        <v>46026</v>
      </c>
      <c r="B107" s="7" t="s">
        <v>166</v>
      </c>
      <c r="C107" s="7" t="s">
        <v>41</v>
      </c>
      <c r="D107" s="7">
        <v>13500</v>
      </c>
      <c r="E107" s="7" t="s">
        <v>58</v>
      </c>
      <c r="F107" s="7" t="s">
        <v>27</v>
      </c>
      <c r="G107" s="7" t="s">
        <v>24</v>
      </c>
      <c r="H107" s="7" t="str">
        <f t="shared" si="0"/>
        <v>enero 2026</v>
      </c>
    </row>
    <row r="108" spans="1:8" ht="22.5" customHeight="1" x14ac:dyDescent="0.25">
      <c r="A108" s="8">
        <v>46026</v>
      </c>
      <c r="B108" s="7" t="s">
        <v>225</v>
      </c>
      <c r="C108" s="7" t="s">
        <v>41</v>
      </c>
      <c r="D108" s="7">
        <v>100000</v>
      </c>
      <c r="E108" s="7" t="s">
        <v>50</v>
      </c>
      <c r="F108" s="7" t="s">
        <v>27</v>
      </c>
      <c r="G108" s="7" t="s">
        <v>24</v>
      </c>
      <c r="H108" s="7" t="str">
        <f t="shared" si="0"/>
        <v>enero 2026</v>
      </c>
    </row>
    <row r="109" spans="1:8" ht="22.5" customHeight="1" x14ac:dyDescent="0.25">
      <c r="A109" s="8">
        <v>46026</v>
      </c>
      <c r="B109" s="7" t="s">
        <v>226</v>
      </c>
      <c r="C109" s="7" t="s">
        <v>41</v>
      </c>
      <c r="D109" s="7">
        <v>9400</v>
      </c>
      <c r="E109" s="7" t="s">
        <v>31</v>
      </c>
      <c r="F109" s="7" t="s">
        <v>27</v>
      </c>
      <c r="G109" s="7" t="s">
        <v>24</v>
      </c>
      <c r="H109" s="7" t="str">
        <f t="shared" si="0"/>
        <v>enero 2026</v>
      </c>
    </row>
    <row r="110" spans="1:8" ht="22.5" customHeight="1" x14ac:dyDescent="0.25">
      <c r="A110" s="8">
        <v>46027</v>
      </c>
      <c r="B110" s="7" t="s">
        <v>228</v>
      </c>
      <c r="C110" s="7" t="s">
        <v>41</v>
      </c>
      <c r="D110" s="7">
        <v>30000</v>
      </c>
      <c r="E110" s="7" t="s">
        <v>72</v>
      </c>
      <c r="F110" s="7" t="s">
        <v>27</v>
      </c>
      <c r="G110" s="7" t="s">
        <v>24</v>
      </c>
      <c r="H110" s="7" t="str">
        <f t="shared" si="0"/>
        <v>enero 2026</v>
      </c>
    </row>
    <row r="111" spans="1:8" ht="22.5" customHeight="1" x14ac:dyDescent="0.25">
      <c r="A111" s="8">
        <v>46027</v>
      </c>
      <c r="B111" s="7" t="s">
        <v>229</v>
      </c>
      <c r="C111" s="7" t="s">
        <v>41</v>
      </c>
      <c r="D111" s="7">
        <v>31200</v>
      </c>
      <c r="E111" s="7" t="s">
        <v>58</v>
      </c>
      <c r="F111" s="7" t="s">
        <v>27</v>
      </c>
      <c r="G111" s="7" t="s">
        <v>24</v>
      </c>
      <c r="H111" s="7" t="str">
        <f t="shared" si="0"/>
        <v>enero 2026</v>
      </c>
    </row>
    <row r="112" spans="1:8" ht="22.5" customHeight="1" x14ac:dyDescent="0.25">
      <c r="A112" s="8">
        <v>46027</v>
      </c>
      <c r="B112" s="7" t="s">
        <v>230</v>
      </c>
      <c r="C112" s="7" t="s">
        <v>41</v>
      </c>
      <c r="D112" s="7">
        <v>300000</v>
      </c>
      <c r="E112" s="7" t="s">
        <v>113</v>
      </c>
      <c r="F112" s="7" t="s">
        <v>27</v>
      </c>
      <c r="G112" s="7" t="s">
        <v>24</v>
      </c>
      <c r="H112" s="7" t="str">
        <f t="shared" si="0"/>
        <v>enero 2026</v>
      </c>
    </row>
    <row r="113" spans="1:8" ht="22.5" customHeight="1" x14ac:dyDescent="0.25">
      <c r="A113" s="8">
        <v>46027</v>
      </c>
      <c r="B113" s="7" t="s">
        <v>33</v>
      </c>
      <c r="C113" s="7" t="s">
        <v>41</v>
      </c>
      <c r="D113" s="7">
        <v>290</v>
      </c>
      <c r="E113" s="7" t="s">
        <v>31</v>
      </c>
      <c r="F113" s="7" t="s">
        <v>27</v>
      </c>
      <c r="G113" s="7" t="s">
        <v>24</v>
      </c>
      <c r="H113" s="7" t="str">
        <f t="shared" si="0"/>
        <v>enero 2026</v>
      </c>
    </row>
    <row r="114" spans="1:8" ht="22.5" customHeight="1" x14ac:dyDescent="0.25">
      <c r="A114" s="8">
        <v>46027</v>
      </c>
      <c r="B114" s="7" t="s">
        <v>232</v>
      </c>
      <c r="C114" s="7" t="s">
        <v>20</v>
      </c>
      <c r="D114" s="7">
        <v>102000</v>
      </c>
      <c r="E114" s="7" t="s">
        <v>120</v>
      </c>
      <c r="F114" s="7" t="s">
        <v>24</v>
      </c>
      <c r="G114" s="7" t="s">
        <v>27</v>
      </c>
      <c r="H114" s="7" t="str">
        <f t="shared" si="0"/>
        <v>enero 2026</v>
      </c>
    </row>
    <row r="115" spans="1:8" ht="22.5" customHeight="1" x14ac:dyDescent="0.25">
      <c r="A115" s="8">
        <v>46028</v>
      </c>
      <c r="B115" s="7" t="s">
        <v>233</v>
      </c>
      <c r="C115" s="7" t="s">
        <v>41</v>
      </c>
      <c r="D115" s="7">
        <v>19600</v>
      </c>
      <c r="E115" s="7" t="s">
        <v>31</v>
      </c>
      <c r="F115" s="7" t="s">
        <v>27</v>
      </c>
      <c r="G115" s="7" t="s">
        <v>24</v>
      </c>
      <c r="H115" s="7" t="str">
        <f t="shared" si="0"/>
        <v>enero 2026</v>
      </c>
    </row>
    <row r="116" spans="1:8" ht="22.5" customHeight="1" x14ac:dyDescent="0.25">
      <c r="A116" s="8">
        <v>46028</v>
      </c>
      <c r="B116" s="7" t="s">
        <v>234</v>
      </c>
      <c r="C116" s="7" t="s">
        <v>20</v>
      </c>
      <c r="D116" s="7">
        <v>55000</v>
      </c>
      <c r="E116" s="7" t="s">
        <v>72</v>
      </c>
      <c r="F116" s="7" t="s">
        <v>24</v>
      </c>
      <c r="G116" s="7" t="s">
        <v>27</v>
      </c>
      <c r="H116" s="7" t="str">
        <f t="shared" si="0"/>
        <v>enero 2026</v>
      </c>
    </row>
    <row r="117" spans="1:8" ht="22.5" customHeight="1" x14ac:dyDescent="0.25">
      <c r="A117" s="8">
        <v>46028</v>
      </c>
      <c r="B117" s="7" t="s">
        <v>235</v>
      </c>
      <c r="C117" s="7" t="s">
        <v>20</v>
      </c>
      <c r="D117" s="7">
        <v>67747</v>
      </c>
      <c r="E117" s="7" t="s">
        <v>120</v>
      </c>
      <c r="F117" s="7" t="s">
        <v>24</v>
      </c>
      <c r="G117" s="7" t="s">
        <v>27</v>
      </c>
      <c r="H117" s="7" t="str">
        <f t="shared" si="0"/>
        <v>enero 2026</v>
      </c>
    </row>
    <row r="118" spans="1:8" ht="22.5" customHeight="1" x14ac:dyDescent="0.25">
      <c r="A118" s="8">
        <v>46028</v>
      </c>
      <c r="B118" s="7" t="s">
        <v>236</v>
      </c>
      <c r="C118" s="7" t="s">
        <v>41</v>
      </c>
      <c r="D118" s="7">
        <v>300000</v>
      </c>
      <c r="E118" s="7" t="s">
        <v>50</v>
      </c>
      <c r="F118" s="7" t="s">
        <v>27</v>
      </c>
      <c r="G118" s="7" t="s">
        <v>24</v>
      </c>
      <c r="H118" s="7" t="str">
        <f t="shared" si="0"/>
        <v>enero 2026</v>
      </c>
    </row>
    <row r="119" spans="1:8" ht="22.5" customHeight="1" x14ac:dyDescent="0.25">
      <c r="A119" s="8">
        <v>46028</v>
      </c>
      <c r="B119" s="7" t="s">
        <v>237</v>
      </c>
      <c r="C119" s="7" t="s">
        <v>41</v>
      </c>
      <c r="D119" s="7">
        <v>460000</v>
      </c>
      <c r="E119" s="7" t="s">
        <v>50</v>
      </c>
      <c r="F119" s="7" t="s">
        <v>27</v>
      </c>
      <c r="G119" s="7" t="s">
        <v>24</v>
      </c>
      <c r="H119" s="7" t="str">
        <f t="shared" si="0"/>
        <v>enero 2026</v>
      </c>
    </row>
    <row r="120" spans="1:8" ht="22.5" customHeight="1" x14ac:dyDescent="0.25">
      <c r="A120" s="8">
        <v>46030</v>
      </c>
      <c r="B120" s="7" t="s">
        <v>238</v>
      </c>
      <c r="C120" s="7" t="s">
        <v>41</v>
      </c>
      <c r="D120" s="7">
        <v>1997</v>
      </c>
      <c r="E120" s="7" t="s">
        <v>31</v>
      </c>
      <c r="F120" s="7" t="s">
        <v>27</v>
      </c>
      <c r="G120" s="7" t="s">
        <v>24</v>
      </c>
      <c r="H120" s="7" t="str">
        <f t="shared" si="0"/>
        <v>enero 2026</v>
      </c>
    </row>
    <row r="121" spans="1:8" ht="22.5" customHeight="1" x14ac:dyDescent="0.25">
      <c r="A121" s="8">
        <v>46030</v>
      </c>
      <c r="B121" s="7" t="s">
        <v>239</v>
      </c>
      <c r="C121" s="7" t="s">
        <v>41</v>
      </c>
      <c r="D121" s="7">
        <v>9100</v>
      </c>
      <c r="E121" s="7" t="s">
        <v>31</v>
      </c>
      <c r="F121" s="7" t="s">
        <v>27</v>
      </c>
      <c r="G121" s="7" t="s">
        <v>24</v>
      </c>
      <c r="H121" s="7" t="str">
        <f t="shared" si="0"/>
        <v>enero 2026</v>
      </c>
    </row>
    <row r="122" spans="1:8" ht="22.5" customHeight="1" x14ac:dyDescent="0.25">
      <c r="A122" s="8">
        <v>46030</v>
      </c>
      <c r="B122" s="7" t="s">
        <v>240</v>
      </c>
      <c r="C122" s="7" t="s">
        <v>41</v>
      </c>
      <c r="D122" s="7">
        <v>22700</v>
      </c>
      <c r="E122" s="7" t="s">
        <v>187</v>
      </c>
      <c r="F122" s="7" t="s">
        <v>27</v>
      </c>
      <c r="G122" s="7" t="s">
        <v>24</v>
      </c>
      <c r="H122" s="7" t="str">
        <f t="shared" si="0"/>
        <v>enero 2026</v>
      </c>
    </row>
    <row r="123" spans="1:8" ht="22.5" customHeight="1" x14ac:dyDescent="0.25">
      <c r="A123" s="8">
        <v>46031</v>
      </c>
      <c r="B123" s="7" t="s">
        <v>241</v>
      </c>
      <c r="C123" s="7" t="s">
        <v>41</v>
      </c>
      <c r="D123" s="7">
        <v>70000</v>
      </c>
      <c r="E123" s="7" t="s">
        <v>187</v>
      </c>
      <c r="F123" s="7" t="s">
        <v>27</v>
      </c>
      <c r="G123" s="7" t="s">
        <v>24</v>
      </c>
      <c r="H123" s="7" t="str">
        <f t="shared" si="0"/>
        <v>enero 2026</v>
      </c>
    </row>
    <row r="124" spans="1:8" ht="22.5" customHeight="1" x14ac:dyDescent="0.25">
      <c r="A124" s="8">
        <v>46031</v>
      </c>
      <c r="B124" s="7" t="s">
        <v>33</v>
      </c>
      <c r="C124" s="7" t="s">
        <v>41</v>
      </c>
      <c r="D124" s="7">
        <v>1700</v>
      </c>
      <c r="E124" s="7" t="s">
        <v>31</v>
      </c>
      <c r="F124" s="7" t="s">
        <v>27</v>
      </c>
      <c r="G124" s="7" t="s">
        <v>24</v>
      </c>
      <c r="H124" s="7" t="str">
        <f t="shared" si="0"/>
        <v>enero 2026</v>
      </c>
    </row>
    <row r="125" spans="1:8" ht="22.5" customHeight="1" x14ac:dyDescent="0.25">
      <c r="A125" s="8">
        <v>46031</v>
      </c>
      <c r="B125" s="7" t="s">
        <v>243</v>
      </c>
      <c r="C125" s="7" t="s">
        <v>20</v>
      </c>
      <c r="D125" s="7">
        <v>2149700</v>
      </c>
      <c r="E125" s="7" t="s">
        <v>0</v>
      </c>
      <c r="F125" s="7" t="s">
        <v>24</v>
      </c>
      <c r="G125" s="7" t="s">
        <v>27</v>
      </c>
      <c r="H125" s="7" t="str">
        <f t="shared" si="0"/>
        <v>enero 2026</v>
      </c>
    </row>
    <row r="126" spans="1:8" ht="22.5" customHeight="1" x14ac:dyDescent="0.25">
      <c r="A126" s="8">
        <v>46031</v>
      </c>
      <c r="B126" s="7" t="s">
        <v>244</v>
      </c>
      <c r="C126" s="7" t="s">
        <v>41</v>
      </c>
      <c r="D126" s="7">
        <v>26000</v>
      </c>
      <c r="E126" s="7" t="s">
        <v>0</v>
      </c>
      <c r="F126" s="7" t="s">
        <v>27</v>
      </c>
      <c r="G126" s="7" t="s">
        <v>24</v>
      </c>
      <c r="H126" s="7" t="str">
        <f t="shared" si="0"/>
        <v>enero 2026</v>
      </c>
    </row>
    <row r="127" spans="1:8" ht="22.5" customHeight="1" x14ac:dyDescent="0.25">
      <c r="A127" s="8">
        <v>46031</v>
      </c>
      <c r="B127" s="7" t="s">
        <v>76</v>
      </c>
      <c r="C127" s="7" t="s">
        <v>41</v>
      </c>
      <c r="D127" s="7">
        <v>70000</v>
      </c>
      <c r="E127" s="7" t="s">
        <v>76</v>
      </c>
      <c r="F127" s="7" t="s">
        <v>27</v>
      </c>
      <c r="G127" s="7" t="s">
        <v>24</v>
      </c>
      <c r="H127" s="7" t="str">
        <f t="shared" si="0"/>
        <v>enero 2026</v>
      </c>
    </row>
    <row r="128" spans="1:8" ht="22.5" customHeight="1" x14ac:dyDescent="0.25">
      <c r="A128" s="8">
        <v>46032</v>
      </c>
      <c r="B128" s="7" t="s">
        <v>246</v>
      </c>
      <c r="C128" s="7" t="s">
        <v>41</v>
      </c>
      <c r="D128" s="7">
        <v>6000</v>
      </c>
      <c r="E128" s="7" t="s">
        <v>31</v>
      </c>
      <c r="F128" s="7" t="s">
        <v>27</v>
      </c>
      <c r="G128" s="7" t="s">
        <v>24</v>
      </c>
      <c r="H128" s="7" t="str">
        <f t="shared" si="0"/>
        <v>enero 2026</v>
      </c>
    </row>
    <row r="129" spans="1:8" ht="22.5" customHeight="1" x14ac:dyDescent="0.25">
      <c r="A129" s="8">
        <v>46034</v>
      </c>
      <c r="B129" s="7" t="s">
        <v>248</v>
      </c>
      <c r="C129" s="7" t="s">
        <v>20</v>
      </c>
      <c r="D129" s="7">
        <v>28000</v>
      </c>
      <c r="E129" s="7" t="s">
        <v>249</v>
      </c>
      <c r="F129" s="7" t="s">
        <v>24</v>
      </c>
      <c r="G129" s="7" t="s">
        <v>27</v>
      </c>
      <c r="H129" s="7" t="str">
        <f t="shared" si="0"/>
        <v>enero 2026</v>
      </c>
    </row>
    <row r="130" spans="1:8" ht="22.5" customHeight="1" x14ac:dyDescent="0.25">
      <c r="A130" s="8">
        <v>46034</v>
      </c>
      <c r="B130" s="7" t="s">
        <v>251</v>
      </c>
      <c r="C130" s="7" t="s">
        <v>20</v>
      </c>
      <c r="D130" s="7">
        <v>35240</v>
      </c>
      <c r="E130" s="7" t="s">
        <v>72</v>
      </c>
      <c r="F130" s="7" t="s">
        <v>24</v>
      </c>
      <c r="G130" s="7" t="s">
        <v>27</v>
      </c>
      <c r="H130" s="7" t="str">
        <f t="shared" si="0"/>
        <v>enero 2026</v>
      </c>
    </row>
    <row r="131" spans="1:8" ht="22.5" customHeight="1" x14ac:dyDescent="0.25">
      <c r="A131" s="8">
        <v>46035</v>
      </c>
      <c r="B131" s="7" t="s">
        <v>252</v>
      </c>
      <c r="C131" s="7" t="s">
        <v>41</v>
      </c>
      <c r="D131" s="7">
        <v>20000</v>
      </c>
      <c r="E131" s="7" t="s">
        <v>31</v>
      </c>
      <c r="F131" s="7" t="s">
        <v>27</v>
      </c>
      <c r="G131" s="7" t="s">
        <v>24</v>
      </c>
      <c r="H131" s="7" t="str">
        <f t="shared" si="0"/>
        <v>enero 2026</v>
      </c>
    </row>
    <row r="132" spans="1:8" ht="22.5" customHeight="1" x14ac:dyDescent="0.25">
      <c r="A132" s="8">
        <v>46035</v>
      </c>
      <c r="B132" s="7" t="s">
        <v>253</v>
      </c>
      <c r="C132" s="7" t="s">
        <v>41</v>
      </c>
      <c r="D132" s="7">
        <v>43000</v>
      </c>
      <c r="E132" s="7" t="s">
        <v>187</v>
      </c>
      <c r="F132" s="7" t="s">
        <v>27</v>
      </c>
      <c r="G132" s="7" t="s">
        <v>24</v>
      </c>
      <c r="H132" s="7" t="str">
        <f t="shared" si="0"/>
        <v>enero 2026</v>
      </c>
    </row>
    <row r="133" spans="1:8" ht="22.5" customHeight="1" x14ac:dyDescent="0.25">
      <c r="A133" s="8">
        <v>46035</v>
      </c>
      <c r="B133" s="7" t="s">
        <v>255</v>
      </c>
      <c r="C133" s="7" t="s">
        <v>41</v>
      </c>
      <c r="D133" s="7">
        <v>50000</v>
      </c>
      <c r="E133" s="7" t="s">
        <v>72</v>
      </c>
      <c r="F133" s="7" t="s">
        <v>27</v>
      </c>
      <c r="G133" s="7" t="s">
        <v>24</v>
      </c>
      <c r="H133" s="7" t="str">
        <f t="shared" si="0"/>
        <v>enero 2026</v>
      </c>
    </row>
    <row r="134" spans="1:8" ht="22.5" customHeight="1" x14ac:dyDescent="0.25">
      <c r="A134" s="8">
        <v>46035</v>
      </c>
      <c r="B134" s="7" t="s">
        <v>256</v>
      </c>
      <c r="C134" s="7" t="s">
        <v>41</v>
      </c>
      <c r="D134" s="7">
        <v>23500</v>
      </c>
      <c r="E134" s="7" t="s">
        <v>31</v>
      </c>
      <c r="F134" s="7" t="s">
        <v>27</v>
      </c>
      <c r="G134" s="7" t="s">
        <v>24</v>
      </c>
      <c r="H134" s="7" t="str">
        <f t="shared" si="0"/>
        <v>enero 2026</v>
      </c>
    </row>
    <row r="135" spans="1:8" ht="22.5" customHeight="1" x14ac:dyDescent="0.25">
      <c r="A135" s="8">
        <v>46038</v>
      </c>
      <c r="B135" s="7" t="s">
        <v>258</v>
      </c>
      <c r="C135" s="7" t="s">
        <v>20</v>
      </c>
      <c r="D135" s="7">
        <v>133000</v>
      </c>
      <c r="E135" s="7" t="s">
        <v>72</v>
      </c>
      <c r="F135" s="7" t="s">
        <v>24</v>
      </c>
      <c r="G135" s="7" t="s">
        <v>27</v>
      </c>
      <c r="H135" s="7" t="str">
        <f t="shared" si="0"/>
        <v>enero 2026</v>
      </c>
    </row>
    <row r="136" spans="1:8" ht="22.5" customHeight="1" x14ac:dyDescent="0.25">
      <c r="A136" s="8">
        <v>46038</v>
      </c>
      <c r="B136" s="7" t="s">
        <v>140</v>
      </c>
      <c r="C136" s="7" t="s">
        <v>41</v>
      </c>
      <c r="D136" s="7">
        <v>23000</v>
      </c>
      <c r="E136" s="7" t="s">
        <v>187</v>
      </c>
      <c r="F136" s="7" t="s">
        <v>27</v>
      </c>
      <c r="G136" s="7" t="s">
        <v>24</v>
      </c>
      <c r="H136" s="7" t="str">
        <f t="shared" si="0"/>
        <v>enero 2026</v>
      </c>
    </row>
    <row r="137" spans="1:8" ht="22.5" customHeight="1" x14ac:dyDescent="0.25">
      <c r="A137" s="8">
        <v>46038</v>
      </c>
      <c r="B137" s="7" t="s">
        <v>260</v>
      </c>
      <c r="C137" s="7" t="s">
        <v>41</v>
      </c>
      <c r="D137" s="7">
        <v>28000</v>
      </c>
      <c r="E137" s="7" t="s">
        <v>31</v>
      </c>
      <c r="F137" s="7" t="s">
        <v>27</v>
      </c>
      <c r="G137" s="7" t="s">
        <v>24</v>
      </c>
      <c r="H137" s="7" t="str">
        <f t="shared" si="0"/>
        <v>enero 2026</v>
      </c>
    </row>
    <row r="138" spans="1:8" ht="22.5" customHeight="1" x14ac:dyDescent="0.25">
      <c r="A138" s="8">
        <v>46039</v>
      </c>
      <c r="B138" s="7" t="s">
        <v>261</v>
      </c>
      <c r="C138" s="7" t="s">
        <v>41</v>
      </c>
      <c r="D138" s="7">
        <v>38500</v>
      </c>
      <c r="E138" s="7" t="s">
        <v>31</v>
      </c>
      <c r="F138" s="7" t="s">
        <v>27</v>
      </c>
      <c r="G138" s="7" t="s">
        <v>24</v>
      </c>
      <c r="H138" s="7" t="str">
        <f t="shared" si="0"/>
        <v>enero 2026</v>
      </c>
    </row>
    <row r="139" spans="1:8" ht="22.5" customHeight="1" x14ac:dyDescent="0.25">
      <c r="A139" s="8">
        <v>46039</v>
      </c>
      <c r="B139" s="7" t="s">
        <v>252</v>
      </c>
      <c r="C139" s="7" t="s">
        <v>41</v>
      </c>
      <c r="D139" s="7">
        <v>11500</v>
      </c>
      <c r="E139" s="7" t="s">
        <v>31</v>
      </c>
      <c r="F139" s="7" t="s">
        <v>27</v>
      </c>
      <c r="G139" s="7" t="s">
        <v>24</v>
      </c>
      <c r="H139" s="7" t="str">
        <f t="shared" si="0"/>
        <v>enero 2026</v>
      </c>
    </row>
    <row r="140" spans="1:8" ht="22.5" customHeight="1" x14ac:dyDescent="0.25">
      <c r="A140" s="8">
        <v>46039</v>
      </c>
      <c r="B140" s="7" t="s">
        <v>262</v>
      </c>
      <c r="C140" s="7" t="s">
        <v>41</v>
      </c>
      <c r="D140" s="7">
        <v>22000</v>
      </c>
      <c r="E140" s="7" t="s">
        <v>31</v>
      </c>
      <c r="F140" s="7" t="s">
        <v>27</v>
      </c>
      <c r="G140" s="7" t="s">
        <v>24</v>
      </c>
      <c r="H140" s="7" t="str">
        <f t="shared" si="0"/>
        <v>enero 2026</v>
      </c>
    </row>
    <row r="141" spans="1:8" ht="22.5" customHeight="1" x14ac:dyDescent="0.25">
      <c r="A141" s="8">
        <v>46043</v>
      </c>
      <c r="B141" s="7" t="s">
        <v>263</v>
      </c>
      <c r="C141" s="7" t="s">
        <v>41</v>
      </c>
      <c r="D141" s="7">
        <v>24000</v>
      </c>
      <c r="E141" s="7" t="s">
        <v>31</v>
      </c>
      <c r="F141" s="7" t="s">
        <v>27</v>
      </c>
      <c r="G141" s="7" t="s">
        <v>24</v>
      </c>
      <c r="H141" s="7" t="str">
        <f t="shared" si="0"/>
        <v>enero 2026</v>
      </c>
    </row>
    <row r="142" spans="1:8" ht="22.5" customHeight="1" x14ac:dyDescent="0.25">
      <c r="A142" s="8">
        <v>46043</v>
      </c>
      <c r="B142" s="7" t="s">
        <v>264</v>
      </c>
      <c r="C142" s="7" t="s">
        <v>41</v>
      </c>
      <c r="D142" s="7">
        <v>85000</v>
      </c>
      <c r="E142" s="7" t="s">
        <v>187</v>
      </c>
      <c r="F142" s="7" t="s">
        <v>27</v>
      </c>
      <c r="G142" s="7" t="s">
        <v>24</v>
      </c>
      <c r="H142" s="7" t="str">
        <f t="shared" si="0"/>
        <v>enero 2026</v>
      </c>
    </row>
    <row r="143" spans="1:8" ht="22.5" customHeight="1" x14ac:dyDescent="0.25">
      <c r="A143" s="8">
        <v>46048</v>
      </c>
      <c r="B143" s="7" t="s">
        <v>211</v>
      </c>
      <c r="C143" s="7" t="s">
        <v>41</v>
      </c>
      <c r="D143" s="7">
        <v>5000</v>
      </c>
      <c r="E143" s="7" t="s">
        <v>31</v>
      </c>
      <c r="F143" s="7" t="s">
        <v>27</v>
      </c>
      <c r="G143" s="7" t="s">
        <v>24</v>
      </c>
      <c r="H143" s="7" t="str">
        <f t="shared" si="0"/>
        <v>enero 2026</v>
      </c>
    </row>
    <row r="144" spans="1:8" ht="22.5" customHeight="1" x14ac:dyDescent="0.25">
      <c r="A144" s="8">
        <v>46048</v>
      </c>
      <c r="B144" s="7" t="s">
        <v>266</v>
      </c>
      <c r="C144" s="7" t="s">
        <v>41</v>
      </c>
      <c r="D144" s="7">
        <v>9200</v>
      </c>
      <c r="E144" s="7" t="s">
        <v>31</v>
      </c>
      <c r="F144" s="7" t="s">
        <v>27</v>
      </c>
      <c r="G144" s="7" t="s">
        <v>24</v>
      </c>
      <c r="H144" s="7" t="str">
        <f t="shared" si="0"/>
        <v>enero 2026</v>
      </c>
    </row>
    <row r="145" spans="1:8" ht="22.5" customHeight="1" x14ac:dyDescent="0.25">
      <c r="A145" s="8">
        <v>46048</v>
      </c>
      <c r="B145" s="7" t="s">
        <v>267</v>
      </c>
      <c r="C145" s="7" t="s">
        <v>20</v>
      </c>
      <c r="D145" s="7">
        <v>250000</v>
      </c>
      <c r="E145" s="7" t="s">
        <v>72</v>
      </c>
      <c r="F145" s="7" t="s">
        <v>24</v>
      </c>
      <c r="G145" s="7" t="s">
        <v>27</v>
      </c>
      <c r="H145" s="7" t="str">
        <f t="shared" si="0"/>
        <v>enero 2026</v>
      </c>
    </row>
    <row r="146" spans="1:8" ht="22.5" customHeight="1" x14ac:dyDescent="0.25">
      <c r="A146" s="8">
        <v>46049</v>
      </c>
      <c r="B146" s="7" t="s">
        <v>269</v>
      </c>
      <c r="C146" s="7" t="s">
        <v>41</v>
      </c>
      <c r="D146" s="7">
        <v>30000</v>
      </c>
      <c r="E146" s="7" t="s">
        <v>31</v>
      </c>
      <c r="F146" s="7" t="s">
        <v>27</v>
      </c>
      <c r="G146" s="7" t="s">
        <v>24</v>
      </c>
      <c r="H146" s="7" t="str">
        <f t="shared" si="0"/>
        <v>enero 2026</v>
      </c>
    </row>
    <row r="147" spans="1:8" ht="22.5" customHeight="1" x14ac:dyDescent="0.25">
      <c r="A147" s="8">
        <v>46049</v>
      </c>
      <c r="B147" s="7" t="s">
        <v>270</v>
      </c>
      <c r="C147" s="7" t="s">
        <v>41</v>
      </c>
      <c r="D147" s="7">
        <v>30000</v>
      </c>
      <c r="E147" s="7" t="s">
        <v>31</v>
      </c>
      <c r="F147" s="7" t="s">
        <v>27</v>
      </c>
      <c r="G147" s="7" t="s">
        <v>24</v>
      </c>
      <c r="H147" s="7" t="str">
        <f t="shared" si="0"/>
        <v>enero 2026</v>
      </c>
    </row>
    <row r="148" spans="1:8" ht="22.5" customHeight="1" x14ac:dyDescent="0.25">
      <c r="A148" s="8">
        <v>46049</v>
      </c>
      <c r="B148" s="7" t="s">
        <v>271</v>
      </c>
      <c r="C148" s="7" t="s">
        <v>41</v>
      </c>
      <c r="D148" s="7">
        <v>30000</v>
      </c>
      <c r="E148" s="7" t="s">
        <v>31</v>
      </c>
      <c r="F148" s="7" t="s">
        <v>27</v>
      </c>
      <c r="G148" s="7" t="s">
        <v>24</v>
      </c>
      <c r="H148" s="7" t="str">
        <f t="shared" si="0"/>
        <v>enero 2026</v>
      </c>
    </row>
    <row r="149" spans="1:8" ht="22.5" customHeight="1" x14ac:dyDescent="0.25">
      <c r="A149" s="8">
        <v>46051</v>
      </c>
      <c r="B149" s="7" t="s">
        <v>272</v>
      </c>
      <c r="C149" s="7" t="s">
        <v>41</v>
      </c>
      <c r="D149" s="7">
        <v>27000</v>
      </c>
      <c r="E149" s="7" t="s">
        <v>31</v>
      </c>
      <c r="F149" s="7" t="s">
        <v>27</v>
      </c>
      <c r="G149" s="7" t="s">
        <v>24</v>
      </c>
      <c r="H149" s="7" t="str">
        <f t="shared" si="0"/>
        <v>enero 2026</v>
      </c>
    </row>
    <row r="150" spans="1:8" ht="22.5" customHeight="1" x14ac:dyDescent="0.25">
      <c r="A150" s="8">
        <v>46054</v>
      </c>
      <c r="B150" s="7" t="s">
        <v>273</v>
      </c>
      <c r="C150" s="7" t="s">
        <v>41</v>
      </c>
      <c r="D150" s="7">
        <v>125000</v>
      </c>
      <c r="E150" s="7" t="s">
        <v>31</v>
      </c>
      <c r="F150" s="7" t="s">
        <v>27</v>
      </c>
      <c r="G150" s="7" t="s">
        <v>24</v>
      </c>
      <c r="H150" s="7" t="str">
        <f t="shared" si="0"/>
        <v>febrero 2026</v>
      </c>
    </row>
    <row r="151" spans="1:8" ht="22.5" customHeight="1" x14ac:dyDescent="0.25">
      <c r="A151" s="8">
        <v>46054</v>
      </c>
      <c r="B151" s="7" t="s">
        <v>274</v>
      </c>
      <c r="C151" s="7" t="s">
        <v>20</v>
      </c>
      <c r="D151" s="7">
        <v>96000</v>
      </c>
      <c r="E151" s="7" t="s">
        <v>275</v>
      </c>
      <c r="F151" s="7" t="s">
        <v>24</v>
      </c>
      <c r="G151" s="7" t="s">
        <v>27</v>
      </c>
      <c r="H151" s="7" t="str">
        <f t="shared" si="0"/>
        <v>febrero 2026</v>
      </c>
    </row>
    <row r="152" spans="1:8" ht="22.5" customHeight="1" x14ac:dyDescent="0.25">
      <c r="A152" s="8">
        <v>46055</v>
      </c>
      <c r="B152" s="7" t="s">
        <v>276</v>
      </c>
      <c r="C152" s="7" t="s">
        <v>41</v>
      </c>
      <c r="D152" s="7">
        <v>10000</v>
      </c>
      <c r="E152" s="7" t="s">
        <v>31</v>
      </c>
      <c r="F152" s="7" t="s">
        <v>27</v>
      </c>
      <c r="G152" s="7" t="s">
        <v>24</v>
      </c>
      <c r="H152" s="7" t="str">
        <f t="shared" si="0"/>
        <v>febrero 2026</v>
      </c>
    </row>
    <row r="153" spans="1:8" ht="22.5" customHeight="1" x14ac:dyDescent="0.25">
      <c r="A153" s="8">
        <v>46055</v>
      </c>
      <c r="B153" s="7" t="s">
        <v>277</v>
      </c>
      <c r="C153" s="7" t="s">
        <v>41</v>
      </c>
      <c r="D153" s="7">
        <v>22500</v>
      </c>
      <c r="E153" s="7" t="s">
        <v>31</v>
      </c>
      <c r="F153" s="7" t="s">
        <v>27</v>
      </c>
      <c r="G153" s="7" t="s">
        <v>24</v>
      </c>
      <c r="H153" s="7" t="str">
        <f t="shared" si="0"/>
        <v>febrero 2026</v>
      </c>
    </row>
    <row r="154" spans="1:8" ht="22.5" customHeight="1" x14ac:dyDescent="0.25">
      <c r="A154" s="8">
        <v>46055</v>
      </c>
      <c r="B154" s="7" t="s">
        <v>278</v>
      </c>
      <c r="C154" s="7" t="s">
        <v>41</v>
      </c>
      <c r="D154" s="7">
        <v>2000</v>
      </c>
      <c r="E154" s="7" t="s">
        <v>31</v>
      </c>
      <c r="F154" s="7" t="s">
        <v>27</v>
      </c>
      <c r="G154" s="7" t="s">
        <v>24</v>
      </c>
      <c r="H154" s="7" t="str">
        <f t="shared" si="0"/>
        <v>febrero 2026</v>
      </c>
    </row>
    <row r="155" spans="1:8" ht="22.5" customHeight="1" x14ac:dyDescent="0.25">
      <c r="A155" s="8">
        <v>46056</v>
      </c>
      <c r="B155" s="7" t="s">
        <v>279</v>
      </c>
      <c r="C155" s="7" t="s">
        <v>41</v>
      </c>
      <c r="D155" s="7">
        <v>6500</v>
      </c>
      <c r="E155" s="7" t="s">
        <v>31</v>
      </c>
      <c r="F155" s="7" t="s">
        <v>27</v>
      </c>
      <c r="G155" s="7" t="s">
        <v>24</v>
      </c>
      <c r="H155" s="7" t="str">
        <f t="shared" si="0"/>
        <v>febrero 2026</v>
      </c>
    </row>
    <row r="156" spans="1:8" ht="22.5" customHeight="1" x14ac:dyDescent="0.25">
      <c r="A156" s="8">
        <v>46056</v>
      </c>
      <c r="B156" s="7" t="s">
        <v>280</v>
      </c>
      <c r="C156" s="7" t="s">
        <v>41</v>
      </c>
      <c r="D156" s="7">
        <v>4800</v>
      </c>
      <c r="E156" s="7" t="s">
        <v>31</v>
      </c>
      <c r="F156" s="7" t="s">
        <v>27</v>
      </c>
      <c r="G156" s="7" t="s">
        <v>24</v>
      </c>
      <c r="H156" s="7" t="str">
        <f t="shared" si="0"/>
        <v>febrero 2026</v>
      </c>
    </row>
    <row r="157" spans="1:8" ht="22.5" customHeight="1" x14ac:dyDescent="0.25">
      <c r="A157" s="8">
        <v>46056</v>
      </c>
      <c r="B157" s="7" t="s">
        <v>166</v>
      </c>
      <c r="C157" s="7" t="s">
        <v>41</v>
      </c>
      <c r="D157" s="7">
        <v>13588</v>
      </c>
      <c r="E157" s="7" t="s">
        <v>58</v>
      </c>
      <c r="F157" s="7" t="s">
        <v>27</v>
      </c>
      <c r="G157" s="7" t="s">
        <v>24</v>
      </c>
      <c r="H157" s="7" t="str">
        <f t="shared" si="0"/>
        <v>febrero 2026</v>
      </c>
    </row>
    <row r="158" spans="1:8" ht="22.5" customHeight="1" x14ac:dyDescent="0.25">
      <c r="A158" s="8">
        <v>46057</v>
      </c>
      <c r="B158" s="7" t="s">
        <v>281</v>
      </c>
      <c r="C158" s="7" t="s">
        <v>41</v>
      </c>
      <c r="D158" s="7">
        <v>7700</v>
      </c>
      <c r="E158" s="7" t="s">
        <v>31</v>
      </c>
      <c r="F158" s="7" t="s">
        <v>27</v>
      </c>
      <c r="G158" s="7" t="s">
        <v>24</v>
      </c>
      <c r="H158" s="7" t="str">
        <f t="shared" si="0"/>
        <v>febrero 2026</v>
      </c>
    </row>
    <row r="159" spans="1:8" ht="22.5" customHeight="1" x14ac:dyDescent="0.25">
      <c r="A159" s="8">
        <v>46057</v>
      </c>
      <c r="B159" s="7" t="s">
        <v>282</v>
      </c>
      <c r="C159" s="7" t="s">
        <v>41</v>
      </c>
      <c r="D159" s="7">
        <v>4355</v>
      </c>
      <c r="E159" s="7" t="s">
        <v>31</v>
      </c>
      <c r="F159" s="7" t="s">
        <v>27</v>
      </c>
      <c r="G159" s="7" t="s">
        <v>24</v>
      </c>
      <c r="H159" s="7" t="str">
        <f t="shared" si="0"/>
        <v>febrero 2026</v>
      </c>
    </row>
    <row r="160" spans="1:8" ht="22.5" customHeight="1" x14ac:dyDescent="0.25">
      <c r="A160" s="8">
        <v>46058</v>
      </c>
      <c r="B160" s="7" t="s">
        <v>283</v>
      </c>
      <c r="C160" s="7" t="s">
        <v>41</v>
      </c>
      <c r="D160" s="7">
        <v>2700</v>
      </c>
      <c r="E160" s="7" t="s">
        <v>31</v>
      </c>
      <c r="F160" s="7" t="s">
        <v>27</v>
      </c>
      <c r="G160" s="7" t="s">
        <v>24</v>
      </c>
      <c r="H160" s="7" t="str">
        <f t="shared" si="0"/>
        <v>febrero 2026</v>
      </c>
    </row>
    <row r="161" spans="1:8" ht="22.5" customHeight="1" x14ac:dyDescent="0.25">
      <c r="A161" s="8">
        <v>46059</v>
      </c>
      <c r="B161" s="7" t="s">
        <v>118</v>
      </c>
      <c r="C161" s="7" t="s">
        <v>20</v>
      </c>
      <c r="D161" s="7">
        <v>133561</v>
      </c>
      <c r="E161" s="7" t="s">
        <v>120</v>
      </c>
      <c r="F161" s="7" t="s">
        <v>24</v>
      </c>
      <c r="G161" s="7" t="s">
        <v>27</v>
      </c>
      <c r="H161" s="7" t="str">
        <f t="shared" si="0"/>
        <v>febrero 2026</v>
      </c>
    </row>
    <row r="162" spans="1:8" ht="22.5" customHeight="1" x14ac:dyDescent="0.25">
      <c r="A162" s="8">
        <v>46059</v>
      </c>
      <c r="B162" s="7" t="s">
        <v>284</v>
      </c>
      <c r="C162" s="7" t="s">
        <v>41</v>
      </c>
      <c r="D162" s="7">
        <v>222104</v>
      </c>
      <c r="E162" s="7" t="s">
        <v>84</v>
      </c>
      <c r="F162" s="7" t="s">
        <v>27</v>
      </c>
      <c r="G162" s="7" t="s">
        <v>24</v>
      </c>
      <c r="H162" s="7" t="str">
        <f t="shared" si="0"/>
        <v>febrero 2026</v>
      </c>
    </row>
    <row r="163" spans="1:8" ht="22.5" customHeight="1" x14ac:dyDescent="0.25">
      <c r="A163" s="8">
        <v>46059</v>
      </c>
      <c r="B163" s="7" t="s">
        <v>285</v>
      </c>
      <c r="C163" s="7" t="s">
        <v>41</v>
      </c>
      <c r="D163" s="7">
        <v>130000</v>
      </c>
      <c r="E163" s="7" t="s">
        <v>180</v>
      </c>
      <c r="F163" s="7" t="s">
        <v>27</v>
      </c>
      <c r="G163" s="7" t="s">
        <v>24</v>
      </c>
      <c r="H163" s="7" t="str">
        <f t="shared" si="0"/>
        <v>febrero 2026</v>
      </c>
    </row>
    <row r="164" spans="1:8" ht="22.5" customHeight="1" x14ac:dyDescent="0.25">
      <c r="A164" s="8">
        <v>46059</v>
      </c>
      <c r="B164" s="7" t="s">
        <v>286</v>
      </c>
      <c r="C164" s="7" t="s">
        <v>41</v>
      </c>
      <c r="D164" s="7">
        <v>267000</v>
      </c>
      <c r="E164" s="7" t="s">
        <v>180</v>
      </c>
      <c r="F164" s="7" t="s">
        <v>27</v>
      </c>
      <c r="G164" s="7" t="s">
        <v>24</v>
      </c>
      <c r="H164" s="7" t="str">
        <f t="shared" si="0"/>
        <v>febrero 2026</v>
      </c>
    </row>
    <row r="165" spans="1:8" ht="22.5" customHeight="1" x14ac:dyDescent="0.25">
      <c r="A165" s="8">
        <v>46059</v>
      </c>
      <c r="B165" s="7" t="s">
        <v>287</v>
      </c>
      <c r="C165" s="7" t="s">
        <v>41</v>
      </c>
      <c r="D165" s="7">
        <v>11000</v>
      </c>
      <c r="E165" s="7" t="s">
        <v>180</v>
      </c>
      <c r="F165" s="7" t="s">
        <v>27</v>
      </c>
      <c r="G165" s="7" t="s">
        <v>24</v>
      </c>
      <c r="H165" s="7" t="str">
        <f t="shared" si="0"/>
        <v>febrero 2026</v>
      </c>
    </row>
    <row r="166" spans="1:8" ht="22.5" customHeight="1" x14ac:dyDescent="0.25">
      <c r="A166" s="8">
        <v>46059</v>
      </c>
      <c r="B166" s="7" t="s">
        <v>288</v>
      </c>
      <c r="C166" s="7" t="s">
        <v>41</v>
      </c>
      <c r="D166" s="7">
        <v>122000</v>
      </c>
      <c r="E166" s="7" t="s">
        <v>58</v>
      </c>
      <c r="F166" s="7" t="s">
        <v>27</v>
      </c>
      <c r="G166" s="7" t="s">
        <v>24</v>
      </c>
      <c r="H166" s="7" t="str">
        <f t="shared" si="0"/>
        <v>febrero 2026</v>
      </c>
    </row>
    <row r="167" spans="1:8" ht="22.5" customHeight="1" x14ac:dyDescent="0.25">
      <c r="A167" s="8">
        <v>46059</v>
      </c>
      <c r="B167" s="7" t="s">
        <v>289</v>
      </c>
      <c r="C167" s="7" t="s">
        <v>41</v>
      </c>
      <c r="D167" s="7">
        <v>25400</v>
      </c>
      <c r="E167" s="7" t="s">
        <v>58</v>
      </c>
      <c r="F167" s="7" t="s">
        <v>27</v>
      </c>
      <c r="G167" s="7" t="s">
        <v>24</v>
      </c>
      <c r="H167" s="7" t="str">
        <f t="shared" si="0"/>
        <v>febrero 2026</v>
      </c>
    </row>
    <row r="168" spans="1:8" ht="22.5" customHeight="1" x14ac:dyDescent="0.25">
      <c r="A168" s="8">
        <v>46059</v>
      </c>
      <c r="B168" s="7" t="s">
        <v>290</v>
      </c>
      <c r="C168" s="7" t="s">
        <v>41</v>
      </c>
      <c r="D168" s="7">
        <v>275000</v>
      </c>
      <c r="E168" s="7" t="s">
        <v>31</v>
      </c>
      <c r="F168" s="7" t="s">
        <v>27</v>
      </c>
      <c r="G168" s="7" t="s">
        <v>24</v>
      </c>
      <c r="H168" s="7" t="str">
        <f t="shared" si="0"/>
        <v>febrero 2026</v>
      </c>
    </row>
    <row r="169" spans="1:8" ht="22.5" customHeight="1" x14ac:dyDescent="0.25">
      <c r="A169" s="8">
        <v>46059</v>
      </c>
      <c r="B169" s="7" t="s">
        <v>291</v>
      </c>
      <c r="C169" s="7" t="s">
        <v>20</v>
      </c>
      <c r="D169" s="7">
        <v>59999</v>
      </c>
      <c r="E169" s="7" t="s">
        <v>275</v>
      </c>
      <c r="F169" s="7" t="s">
        <v>24</v>
      </c>
      <c r="G169" s="7" t="s">
        <v>27</v>
      </c>
      <c r="H169" s="7" t="str">
        <f t="shared" si="0"/>
        <v>febrero 2026</v>
      </c>
    </row>
    <row r="170" spans="1:8" ht="22.5" customHeight="1" x14ac:dyDescent="0.25">
      <c r="A170" s="8">
        <v>46059</v>
      </c>
      <c r="B170" s="7" t="s">
        <v>292</v>
      </c>
      <c r="C170" s="7" t="s">
        <v>41</v>
      </c>
      <c r="D170" s="7">
        <v>100000</v>
      </c>
      <c r="E170" s="7" t="s">
        <v>180</v>
      </c>
      <c r="F170" s="7" t="s">
        <v>27</v>
      </c>
      <c r="G170" s="7" t="s">
        <v>24</v>
      </c>
      <c r="H170" s="7" t="str">
        <f t="shared" si="0"/>
        <v>febrero 2026</v>
      </c>
    </row>
    <row r="171" spans="1:8" ht="22.5" customHeight="1" x14ac:dyDescent="0.25">
      <c r="A171" s="8">
        <v>46059</v>
      </c>
      <c r="B171" s="7" t="s">
        <v>293</v>
      </c>
      <c r="C171" s="7" t="s">
        <v>41</v>
      </c>
      <c r="D171" s="7">
        <v>28000</v>
      </c>
      <c r="E171" s="7" t="s">
        <v>180</v>
      </c>
      <c r="F171" s="7" t="s">
        <v>27</v>
      </c>
      <c r="G171" s="7" t="s">
        <v>24</v>
      </c>
      <c r="H171" s="7" t="str">
        <f t="shared" si="0"/>
        <v>febrero 2026</v>
      </c>
    </row>
    <row r="172" spans="1:8" ht="22.5" customHeight="1" x14ac:dyDescent="0.25">
      <c r="A172" s="8">
        <v>46059</v>
      </c>
      <c r="B172" s="7" t="s">
        <v>294</v>
      </c>
      <c r="C172" s="7" t="s">
        <v>20</v>
      </c>
      <c r="D172" s="7">
        <v>2177000</v>
      </c>
      <c r="E172" s="7" t="s">
        <v>0</v>
      </c>
      <c r="F172" s="7" t="s">
        <v>24</v>
      </c>
      <c r="G172" s="7" t="s">
        <v>27</v>
      </c>
      <c r="H172" s="7" t="str">
        <f t="shared" si="0"/>
        <v>febrero 2026</v>
      </c>
    </row>
    <row r="173" spans="1:8" ht="22.5" customHeight="1" x14ac:dyDescent="0.25">
      <c r="A173" s="8">
        <v>46059</v>
      </c>
      <c r="B173" s="7" t="s">
        <v>295</v>
      </c>
      <c r="C173" s="7" t="s">
        <v>41</v>
      </c>
      <c r="D173" s="7">
        <v>400000</v>
      </c>
      <c r="E173" s="7" t="s">
        <v>113</v>
      </c>
      <c r="F173" s="7" t="s">
        <v>27</v>
      </c>
      <c r="G173" s="7" t="s">
        <v>24</v>
      </c>
      <c r="H173" s="7" t="str">
        <f t="shared" si="0"/>
        <v>febrero 2026</v>
      </c>
    </row>
    <row r="174" spans="1:8" ht="22.5" customHeight="1" x14ac:dyDescent="0.25">
      <c r="A174" s="8">
        <v>46059</v>
      </c>
      <c r="B174" s="7" t="s">
        <v>296</v>
      </c>
      <c r="C174" s="7" t="s">
        <v>41</v>
      </c>
      <c r="D174" s="7">
        <v>100000</v>
      </c>
      <c r="E174" s="7" t="s">
        <v>50</v>
      </c>
      <c r="F174" s="7" t="s">
        <v>27</v>
      </c>
      <c r="G174" s="7" t="s">
        <v>24</v>
      </c>
      <c r="H174" s="7" t="str">
        <f t="shared" si="0"/>
        <v>febrero 2026</v>
      </c>
    </row>
    <row r="175" spans="1:8" ht="22.5" customHeight="1" x14ac:dyDescent="0.25">
      <c r="A175" s="8">
        <v>46061</v>
      </c>
      <c r="B175" s="7" t="s">
        <v>143</v>
      </c>
      <c r="C175" s="7" t="s">
        <v>20</v>
      </c>
      <c r="D175" s="7">
        <v>50000</v>
      </c>
      <c r="E175" s="7" t="s">
        <v>72</v>
      </c>
      <c r="F175" s="7" t="s">
        <v>24</v>
      </c>
      <c r="G175" s="7" t="s">
        <v>27</v>
      </c>
      <c r="H175" s="7" t="str">
        <f t="shared" si="0"/>
        <v>febrero 2026</v>
      </c>
    </row>
    <row r="176" spans="1:8" ht="22.5" customHeight="1" x14ac:dyDescent="0.25">
      <c r="A176" s="8">
        <v>46062</v>
      </c>
      <c r="B176" s="7" t="s">
        <v>297</v>
      </c>
      <c r="C176" s="7" t="s">
        <v>20</v>
      </c>
      <c r="D176" s="7">
        <v>43000</v>
      </c>
      <c r="E176" s="7" t="s">
        <v>120</v>
      </c>
      <c r="F176" s="7" t="s">
        <v>24</v>
      </c>
      <c r="G176" s="7" t="s">
        <v>27</v>
      </c>
      <c r="H176" s="7" t="str">
        <f t="shared" si="0"/>
        <v>febrero 2026</v>
      </c>
    </row>
    <row r="177" spans="1:8" ht="22.5" customHeight="1" x14ac:dyDescent="0.25">
      <c r="A177" s="8">
        <v>46064</v>
      </c>
      <c r="B177" s="7" t="s">
        <v>298</v>
      </c>
      <c r="C177" s="7" t="s">
        <v>20</v>
      </c>
      <c r="D177" s="7">
        <v>55000</v>
      </c>
      <c r="E177" s="7" t="s">
        <v>72</v>
      </c>
      <c r="F177" s="7" t="s">
        <v>24</v>
      </c>
      <c r="G177" s="7" t="s">
        <v>27</v>
      </c>
      <c r="H177" s="7" t="str">
        <f t="shared" si="0"/>
        <v>febrero 2026</v>
      </c>
    </row>
    <row r="178" spans="1:8" ht="22.5" customHeight="1" x14ac:dyDescent="0.25">
      <c r="A178" s="8">
        <v>46064</v>
      </c>
      <c r="B178" s="7" t="s">
        <v>299</v>
      </c>
      <c r="C178" s="7" t="s">
        <v>41</v>
      </c>
      <c r="D178" s="7">
        <v>5000</v>
      </c>
      <c r="E178" s="7" t="s">
        <v>31</v>
      </c>
      <c r="F178" s="7" t="s">
        <v>27</v>
      </c>
      <c r="G178" s="7" t="s">
        <v>24</v>
      </c>
      <c r="H178" s="7" t="str">
        <f t="shared" si="0"/>
        <v>febrero 2026</v>
      </c>
    </row>
    <row r="179" spans="1:8" ht="22.5" customHeight="1" x14ac:dyDescent="0.25">
      <c r="A179" s="8">
        <v>46065</v>
      </c>
      <c r="B179" s="7" t="s">
        <v>300</v>
      </c>
      <c r="C179" s="7" t="s">
        <v>41</v>
      </c>
      <c r="D179" s="7">
        <v>2000</v>
      </c>
      <c r="E179" s="7" t="s">
        <v>31</v>
      </c>
      <c r="F179" s="7" t="s">
        <v>27</v>
      </c>
      <c r="G179" s="7" t="s">
        <v>24</v>
      </c>
      <c r="H179" s="7" t="str">
        <f t="shared" si="0"/>
        <v>febrero 2026</v>
      </c>
    </row>
    <row r="180" spans="1:8" ht="22.5" customHeight="1" x14ac:dyDescent="0.25">
      <c r="A180" s="8">
        <v>46065</v>
      </c>
      <c r="B180" s="7" t="s">
        <v>301</v>
      </c>
      <c r="C180" s="7" t="s">
        <v>41</v>
      </c>
      <c r="D180" s="7">
        <v>6500</v>
      </c>
      <c r="E180" s="7" t="s">
        <v>31</v>
      </c>
      <c r="F180" s="7" t="s">
        <v>27</v>
      </c>
      <c r="G180" s="7" t="s">
        <v>24</v>
      </c>
      <c r="H180" s="7" t="str">
        <f t="shared" si="0"/>
        <v>febrero 2026</v>
      </c>
    </row>
    <row r="181" spans="1:8" ht="22.5" customHeight="1" x14ac:dyDescent="0.25">
      <c r="A181" s="8">
        <v>46065</v>
      </c>
      <c r="B181" s="7" t="s">
        <v>302</v>
      </c>
      <c r="C181" s="7" t="s">
        <v>41</v>
      </c>
      <c r="D181" s="7">
        <v>14000</v>
      </c>
      <c r="E181" s="7" t="s">
        <v>31</v>
      </c>
      <c r="F181" s="7" t="s">
        <v>27</v>
      </c>
      <c r="G181" s="7" t="s">
        <v>24</v>
      </c>
      <c r="H181" s="7" t="str">
        <f t="shared" si="0"/>
        <v>febrero 2026</v>
      </c>
    </row>
    <row r="182" spans="1:8" ht="22.5" customHeight="1" x14ac:dyDescent="0.25">
      <c r="A182" s="8">
        <v>46066</v>
      </c>
      <c r="B182" s="7" t="s">
        <v>303</v>
      </c>
      <c r="C182" s="7" t="s">
        <v>41</v>
      </c>
      <c r="D182" s="7">
        <v>70000</v>
      </c>
      <c r="E182" s="7" t="s">
        <v>76</v>
      </c>
      <c r="F182" s="7" t="s">
        <v>27</v>
      </c>
      <c r="G182" s="7" t="s">
        <v>24</v>
      </c>
      <c r="H182" s="7" t="str">
        <f t="shared" si="0"/>
        <v>febrero 2026</v>
      </c>
    </row>
    <row r="183" spans="1:8" ht="22.5" customHeight="1" x14ac:dyDescent="0.25">
      <c r="A183" s="8">
        <v>46066</v>
      </c>
      <c r="B183" s="7" t="s">
        <v>140</v>
      </c>
      <c r="C183" s="7" t="s">
        <v>41</v>
      </c>
      <c r="D183" s="7">
        <v>23000</v>
      </c>
      <c r="E183" s="7" t="s">
        <v>187</v>
      </c>
      <c r="F183" s="7" t="s">
        <v>27</v>
      </c>
      <c r="G183" s="7" t="s">
        <v>24</v>
      </c>
      <c r="H183" s="7" t="str">
        <f t="shared" si="0"/>
        <v>febrero 2026</v>
      </c>
    </row>
    <row r="184" spans="1:8" ht="22.5" customHeight="1" x14ac:dyDescent="0.25">
      <c r="A184" s="8">
        <v>46066</v>
      </c>
      <c r="B184" s="7" t="s">
        <v>304</v>
      </c>
      <c r="C184" s="7" t="s">
        <v>41</v>
      </c>
      <c r="D184" s="7">
        <v>51500</v>
      </c>
      <c r="E184" s="7" t="s">
        <v>180</v>
      </c>
      <c r="F184" s="7" t="s">
        <v>27</v>
      </c>
      <c r="G184" s="7" t="s">
        <v>24</v>
      </c>
      <c r="H184" s="7" t="str">
        <f t="shared" si="0"/>
        <v>febrero 2026</v>
      </c>
    </row>
    <row r="185" spans="1:8" ht="22.5" customHeight="1" x14ac:dyDescent="0.25">
      <c r="A185" s="8">
        <v>46067</v>
      </c>
      <c r="B185" s="7" t="s">
        <v>305</v>
      </c>
      <c r="C185" s="7" t="s">
        <v>20</v>
      </c>
      <c r="D185" s="7">
        <v>2000</v>
      </c>
      <c r="E185" s="7" t="s">
        <v>275</v>
      </c>
      <c r="F185" s="7" t="s">
        <v>24</v>
      </c>
      <c r="G185" s="7" t="s">
        <v>27</v>
      </c>
      <c r="H185" s="7" t="str">
        <f t="shared" si="0"/>
        <v>febrero 2026</v>
      </c>
    </row>
    <row r="186" spans="1:8" ht="22.5" customHeight="1" x14ac:dyDescent="0.25">
      <c r="A186" s="8">
        <v>46067</v>
      </c>
      <c r="B186" s="7" t="s">
        <v>306</v>
      </c>
      <c r="C186" s="7" t="s">
        <v>20</v>
      </c>
      <c r="D186" s="7">
        <v>117000</v>
      </c>
      <c r="E186" s="7" t="s">
        <v>275</v>
      </c>
      <c r="F186" s="7" t="s">
        <v>24</v>
      </c>
      <c r="G186" s="7" t="s">
        <v>27</v>
      </c>
      <c r="H186" s="7" t="str">
        <f t="shared" si="0"/>
        <v>febrero 2026</v>
      </c>
    </row>
    <row r="187" spans="1:8" ht="22.5" customHeight="1" x14ac:dyDescent="0.25">
      <c r="A187" s="8">
        <v>46067</v>
      </c>
      <c r="B187" s="7" t="s">
        <v>307</v>
      </c>
      <c r="C187" s="7" t="s">
        <v>41</v>
      </c>
      <c r="D187" s="7">
        <v>110000</v>
      </c>
      <c r="E187" s="7" t="s">
        <v>180</v>
      </c>
      <c r="F187" s="7" t="s">
        <v>27</v>
      </c>
      <c r="G187" s="7" t="s">
        <v>24</v>
      </c>
      <c r="H187" s="7" t="str">
        <f t="shared" si="0"/>
        <v>febrero 2026</v>
      </c>
    </row>
    <row r="188" spans="1:8" ht="22.5" customHeight="1" x14ac:dyDescent="0.25">
      <c r="A188" s="8">
        <v>46067</v>
      </c>
      <c r="B188" s="7" t="s">
        <v>308</v>
      </c>
      <c r="C188" s="7" t="s">
        <v>20</v>
      </c>
      <c r="D188" s="7">
        <v>200000</v>
      </c>
      <c r="E188" s="7" t="s">
        <v>50</v>
      </c>
      <c r="F188" s="7" t="s">
        <v>24</v>
      </c>
      <c r="G188" s="7" t="s">
        <v>27</v>
      </c>
      <c r="H188" s="7" t="str">
        <f t="shared" si="0"/>
        <v>febrero 2026</v>
      </c>
    </row>
    <row r="189" spans="1:8" ht="22.5" customHeight="1" x14ac:dyDescent="0.25">
      <c r="A189" s="8">
        <v>46067</v>
      </c>
      <c r="B189" s="7" t="s">
        <v>309</v>
      </c>
      <c r="C189" s="7" t="s">
        <v>20</v>
      </c>
      <c r="D189" s="7">
        <v>511350</v>
      </c>
      <c r="E189" s="7" t="s">
        <v>50</v>
      </c>
      <c r="F189" s="7" t="s">
        <v>24</v>
      </c>
      <c r="G189" s="7" t="s">
        <v>27</v>
      </c>
      <c r="H189" s="7" t="str">
        <f t="shared" si="0"/>
        <v>febrero 2026</v>
      </c>
    </row>
    <row r="190" spans="1:8" ht="22.5" customHeight="1" x14ac:dyDescent="0.25">
      <c r="A190" s="8">
        <v>46067</v>
      </c>
      <c r="B190" s="7" t="s">
        <v>310</v>
      </c>
      <c r="C190" s="7" t="s">
        <v>41</v>
      </c>
      <c r="D190" s="7">
        <v>180000</v>
      </c>
      <c r="E190" s="7" t="s">
        <v>50</v>
      </c>
      <c r="F190" s="7" t="s">
        <v>27</v>
      </c>
      <c r="G190" s="7" t="s">
        <v>24</v>
      </c>
      <c r="H190" s="7" t="str">
        <f t="shared" si="0"/>
        <v>febrero 2026</v>
      </c>
    </row>
    <row r="191" spans="1:8" ht="22.5" customHeight="1" x14ac:dyDescent="0.25">
      <c r="A191" s="8">
        <v>46067</v>
      </c>
      <c r="B191" s="7" t="s">
        <v>311</v>
      </c>
      <c r="C191" s="7" t="s">
        <v>41</v>
      </c>
      <c r="D191" s="7">
        <v>40000</v>
      </c>
      <c r="E191" s="7" t="s">
        <v>180</v>
      </c>
      <c r="F191" s="7" t="s">
        <v>27</v>
      </c>
      <c r="G191" s="7" t="s">
        <v>24</v>
      </c>
      <c r="H191" s="7" t="str">
        <f t="shared" si="0"/>
        <v>febrero 2026</v>
      </c>
    </row>
    <row r="192" spans="1:8" ht="22.5" customHeight="1" x14ac:dyDescent="0.25">
      <c r="A192" s="8">
        <v>46067</v>
      </c>
      <c r="B192" s="7" t="s">
        <v>312</v>
      </c>
      <c r="C192" s="7" t="s">
        <v>41</v>
      </c>
      <c r="D192" s="7">
        <v>200000</v>
      </c>
      <c r="E192" s="7" t="s">
        <v>50</v>
      </c>
      <c r="F192" s="7" t="s">
        <v>27</v>
      </c>
      <c r="G192" s="7" t="s">
        <v>24</v>
      </c>
      <c r="H192" s="7" t="str">
        <f t="shared" si="0"/>
        <v>febrero 2026</v>
      </c>
    </row>
    <row r="193" spans="1:8" ht="22.5" customHeight="1" x14ac:dyDescent="0.25">
      <c r="A193" s="8">
        <v>46069</v>
      </c>
      <c r="B193" s="7" t="s">
        <v>313</v>
      </c>
      <c r="C193" s="7" t="s">
        <v>41</v>
      </c>
      <c r="D193" s="7">
        <v>40000</v>
      </c>
      <c r="E193" s="7" t="s">
        <v>180</v>
      </c>
      <c r="F193" s="7" t="s">
        <v>27</v>
      </c>
      <c r="G193" s="7" t="s">
        <v>24</v>
      </c>
      <c r="H193" s="7" t="str">
        <f t="shared" si="0"/>
        <v>febrero 2026</v>
      </c>
    </row>
    <row r="194" spans="1:8" ht="22.5" customHeight="1" x14ac:dyDescent="0.25">
      <c r="A194" s="8">
        <v>46069</v>
      </c>
      <c r="B194" s="7" t="s">
        <v>314</v>
      </c>
      <c r="C194" s="7" t="s">
        <v>41</v>
      </c>
      <c r="D194" s="7">
        <v>4000</v>
      </c>
      <c r="E194" s="7" t="s">
        <v>180</v>
      </c>
      <c r="F194" s="7" t="s">
        <v>27</v>
      </c>
      <c r="G194" s="7" t="s">
        <v>24</v>
      </c>
      <c r="H194" s="7" t="str">
        <f t="shared" si="0"/>
        <v>febrero 2026</v>
      </c>
    </row>
    <row r="195" spans="1:8" ht="22.5" customHeight="1" x14ac:dyDescent="0.25">
      <c r="A195" s="8">
        <v>46069</v>
      </c>
      <c r="B195" s="7" t="s">
        <v>315</v>
      </c>
      <c r="C195" s="7" t="s">
        <v>41</v>
      </c>
      <c r="D195" s="7">
        <v>15000</v>
      </c>
      <c r="E195" s="7" t="s">
        <v>180</v>
      </c>
      <c r="F195" s="7" t="s">
        <v>27</v>
      </c>
      <c r="G195" s="7" t="s">
        <v>24</v>
      </c>
      <c r="H195" s="7" t="str">
        <f t="shared" si="0"/>
        <v>febrero 2026</v>
      </c>
    </row>
    <row r="196" spans="1:8" ht="22.5" customHeight="1" x14ac:dyDescent="0.25">
      <c r="A196" s="8">
        <v>46070</v>
      </c>
      <c r="B196" s="7" t="s">
        <v>316</v>
      </c>
      <c r="C196" s="7" t="s">
        <v>41</v>
      </c>
      <c r="D196" s="7">
        <v>55000</v>
      </c>
      <c r="E196" s="7" t="s">
        <v>180</v>
      </c>
      <c r="F196" s="7" t="s">
        <v>27</v>
      </c>
      <c r="G196" s="7" t="s">
        <v>24</v>
      </c>
      <c r="H196" s="7" t="str">
        <f t="shared" si="0"/>
        <v>febrero 2026</v>
      </c>
    </row>
    <row r="197" spans="1:8" ht="22.5" customHeight="1" x14ac:dyDescent="0.25">
      <c r="A197" s="8">
        <v>46070</v>
      </c>
      <c r="B197" s="7" t="s">
        <v>317</v>
      </c>
      <c r="C197" s="7" t="s">
        <v>41</v>
      </c>
      <c r="D197" s="7">
        <v>53000</v>
      </c>
      <c r="E197" s="7" t="s">
        <v>180</v>
      </c>
      <c r="F197" s="7" t="s">
        <v>27</v>
      </c>
      <c r="G197" s="7" t="s">
        <v>24</v>
      </c>
      <c r="H197" s="7" t="str">
        <f t="shared" si="0"/>
        <v>febrero 2026</v>
      </c>
    </row>
    <row r="198" spans="1:8" ht="22.5" customHeight="1" x14ac:dyDescent="0.25">
      <c r="A198" s="8">
        <v>46072</v>
      </c>
      <c r="B198" s="7" t="s">
        <v>318</v>
      </c>
      <c r="C198" s="7" t="s">
        <v>20</v>
      </c>
      <c r="D198" s="7">
        <v>4210</v>
      </c>
      <c r="E198" s="7" t="s">
        <v>275</v>
      </c>
      <c r="F198" s="7" t="s">
        <v>24</v>
      </c>
      <c r="G198" s="7" t="s">
        <v>27</v>
      </c>
      <c r="H198" s="7" t="str">
        <f t="shared" si="0"/>
        <v>febrero 2026</v>
      </c>
    </row>
    <row r="199" spans="1:8" ht="22.5" customHeight="1" x14ac:dyDescent="0.25">
      <c r="A199" s="8">
        <v>46073</v>
      </c>
      <c r="B199" s="7" t="s">
        <v>208</v>
      </c>
      <c r="C199" s="7" t="s">
        <v>41</v>
      </c>
      <c r="D199" s="7">
        <v>230000</v>
      </c>
      <c r="E199" s="7" t="s">
        <v>180</v>
      </c>
      <c r="F199" s="7" t="s">
        <v>27</v>
      </c>
      <c r="G199" s="7" t="s">
        <v>24</v>
      </c>
      <c r="H199" s="7" t="str">
        <f t="shared" si="0"/>
        <v>febrero 2026</v>
      </c>
    </row>
    <row r="200" spans="1:8" ht="22.5" customHeight="1" x14ac:dyDescent="0.25">
      <c r="A200" s="8">
        <v>46075</v>
      </c>
      <c r="B200" s="7" t="s">
        <v>319</v>
      </c>
      <c r="C200" s="7" t="s">
        <v>41</v>
      </c>
      <c r="D200" s="7">
        <v>18000</v>
      </c>
      <c r="E200" s="7" t="s">
        <v>31</v>
      </c>
      <c r="F200" s="7" t="s">
        <v>27</v>
      </c>
      <c r="G200" s="7" t="s">
        <v>24</v>
      </c>
      <c r="H200" s="7" t="str">
        <f t="shared" si="0"/>
        <v>febrero 2026</v>
      </c>
    </row>
    <row r="201" spans="1:8" ht="22.5" customHeight="1" x14ac:dyDescent="0.25">
      <c r="A201" s="8">
        <v>46077</v>
      </c>
      <c r="B201" s="7" t="s">
        <v>320</v>
      </c>
      <c r="C201" s="7" t="s">
        <v>41</v>
      </c>
      <c r="D201" s="7">
        <v>6800</v>
      </c>
      <c r="E201" s="7" t="s">
        <v>31</v>
      </c>
      <c r="F201" s="7" t="s">
        <v>27</v>
      </c>
      <c r="G201" s="7" t="s">
        <v>24</v>
      </c>
      <c r="H201" s="7" t="str">
        <f t="shared" si="0"/>
        <v>febrero 2026</v>
      </c>
    </row>
    <row r="202" spans="1:8" ht="22.5" customHeight="1" x14ac:dyDescent="0.25">
      <c r="A202" s="8">
        <v>46078</v>
      </c>
      <c r="B202" s="7" t="s">
        <v>321</v>
      </c>
      <c r="C202" s="7" t="s">
        <v>41</v>
      </c>
      <c r="D202" s="7">
        <v>3500</v>
      </c>
      <c r="E202" s="7" t="s">
        <v>31</v>
      </c>
      <c r="F202" s="7" t="s">
        <v>27</v>
      </c>
      <c r="G202" s="7" t="s">
        <v>24</v>
      </c>
      <c r="H202" s="7" t="str">
        <f t="shared" si="0"/>
        <v>febrero 2026</v>
      </c>
    </row>
    <row r="203" spans="1:8" ht="22.5" customHeight="1" x14ac:dyDescent="0.25">
      <c r="A203" s="8">
        <v>46079</v>
      </c>
      <c r="B203" s="7" t="s">
        <v>322</v>
      </c>
      <c r="C203" s="7" t="s">
        <v>41</v>
      </c>
      <c r="D203" s="7">
        <v>6500</v>
      </c>
      <c r="E203" s="7" t="s">
        <v>180</v>
      </c>
      <c r="F203" s="7" t="s">
        <v>27</v>
      </c>
      <c r="G203" s="7" t="s">
        <v>24</v>
      </c>
      <c r="H203" s="7" t="str">
        <f t="shared" si="0"/>
        <v>febrero 2026</v>
      </c>
    </row>
    <row r="204" spans="1:8" ht="22.5" customHeight="1" x14ac:dyDescent="0.25">
      <c r="A204" s="8">
        <v>46080</v>
      </c>
      <c r="B204" s="7" t="s">
        <v>323</v>
      </c>
      <c r="C204" s="7" t="s">
        <v>41</v>
      </c>
      <c r="D204" s="7">
        <v>57000</v>
      </c>
      <c r="E204" s="7" t="s">
        <v>76</v>
      </c>
      <c r="F204" s="7" t="s">
        <v>27</v>
      </c>
      <c r="G204" s="7" t="s">
        <v>24</v>
      </c>
      <c r="H204" s="7" t="str">
        <f t="shared" si="0"/>
        <v>febrero 2026</v>
      </c>
    </row>
    <row r="205" spans="1:8" ht="22.5" customHeight="1" x14ac:dyDescent="0.25">
      <c r="A205" s="8">
        <v>46080</v>
      </c>
      <c r="B205" s="7" t="s">
        <v>324</v>
      </c>
      <c r="C205" s="7" t="s">
        <v>20</v>
      </c>
      <c r="D205" s="7">
        <v>66000</v>
      </c>
      <c r="E205" s="7" t="s">
        <v>275</v>
      </c>
      <c r="F205" s="7" t="s">
        <v>24</v>
      </c>
      <c r="G205" s="7" t="s">
        <v>27</v>
      </c>
      <c r="H205" s="7" t="str">
        <f t="shared" si="0"/>
        <v>febrero 2026</v>
      </c>
    </row>
    <row r="206" spans="1:8" ht="22.5" customHeight="1" x14ac:dyDescent="0.25">
      <c r="A206" s="8">
        <v>46080</v>
      </c>
      <c r="B206" s="7" t="s">
        <v>325</v>
      </c>
      <c r="C206" s="7" t="s">
        <v>20</v>
      </c>
      <c r="D206" s="7">
        <v>1012000</v>
      </c>
      <c r="E206" s="7" t="s">
        <v>50</v>
      </c>
      <c r="F206" s="7" t="s">
        <v>24</v>
      </c>
      <c r="G206" s="7" t="s">
        <v>27</v>
      </c>
      <c r="H206" s="7" t="str">
        <f t="shared" si="0"/>
        <v>febrero 2026</v>
      </c>
    </row>
    <row r="207" spans="1:8" ht="22.5" customHeight="1" x14ac:dyDescent="0.25">
      <c r="A207" s="8">
        <v>46080</v>
      </c>
      <c r="B207" s="7" t="s">
        <v>326</v>
      </c>
      <c r="C207" s="7" t="s">
        <v>41</v>
      </c>
      <c r="D207" s="7">
        <v>360000</v>
      </c>
      <c r="E207" s="7" t="s">
        <v>180</v>
      </c>
      <c r="F207" s="7" t="s">
        <v>27</v>
      </c>
      <c r="G207" s="7" t="s">
        <v>24</v>
      </c>
      <c r="H207" s="7" t="str">
        <f t="shared" si="0"/>
        <v>febrero 2026</v>
      </c>
    </row>
    <row r="208" spans="1:8" ht="22.5" customHeight="1" x14ac:dyDescent="0.25">
      <c r="A208" s="8">
        <v>46080</v>
      </c>
      <c r="B208" s="7" t="s">
        <v>327</v>
      </c>
      <c r="C208" s="7" t="s">
        <v>41</v>
      </c>
      <c r="D208" s="7">
        <v>350000</v>
      </c>
      <c r="E208" s="7" t="s">
        <v>50</v>
      </c>
      <c r="F208" s="7" t="s">
        <v>27</v>
      </c>
      <c r="G208" s="7" t="s">
        <v>24</v>
      </c>
      <c r="H208" s="7" t="str">
        <f t="shared" si="0"/>
        <v>febrero 2026</v>
      </c>
    </row>
    <row r="209" spans="1:8" ht="22.5" customHeight="1" x14ac:dyDescent="0.25">
      <c r="A209" s="8">
        <v>46080</v>
      </c>
      <c r="B209" s="7" t="s">
        <v>328</v>
      </c>
      <c r="C209" s="7" t="s">
        <v>41</v>
      </c>
      <c r="D209" s="7">
        <v>50000</v>
      </c>
      <c r="E209" s="7" t="s">
        <v>50</v>
      </c>
      <c r="F209" s="7" t="s">
        <v>27</v>
      </c>
      <c r="G209" s="7" t="s">
        <v>24</v>
      </c>
      <c r="H209" s="7" t="str">
        <f t="shared" si="0"/>
        <v>febrero 2026</v>
      </c>
    </row>
    <row r="210" spans="1:8" ht="22.5" customHeight="1" x14ac:dyDescent="0.25">
      <c r="A210" s="8">
        <v>46080</v>
      </c>
      <c r="B210" s="7" t="s">
        <v>329</v>
      </c>
      <c r="C210" s="7" t="s">
        <v>41</v>
      </c>
      <c r="D210" s="7">
        <v>240000</v>
      </c>
      <c r="E210" s="7" t="s">
        <v>180</v>
      </c>
      <c r="F210" s="7" t="s">
        <v>27</v>
      </c>
      <c r="G210" s="7" t="s">
        <v>24</v>
      </c>
      <c r="H210" s="7" t="str">
        <f t="shared" si="0"/>
        <v>febrero 2026</v>
      </c>
    </row>
    <row r="211" spans="1:8" ht="22.5" customHeight="1" x14ac:dyDescent="0.25">
      <c r="A211" s="8">
        <v>46080</v>
      </c>
      <c r="B211" s="7" t="s">
        <v>329</v>
      </c>
      <c r="C211" s="7" t="s">
        <v>41</v>
      </c>
      <c r="D211" s="7">
        <v>12000</v>
      </c>
      <c r="E211" s="7" t="s">
        <v>180</v>
      </c>
      <c r="F211" s="7" t="s">
        <v>27</v>
      </c>
      <c r="G211" s="7" t="s">
        <v>24</v>
      </c>
      <c r="H211" s="7" t="str">
        <f t="shared" si="0"/>
        <v>febrero 2026</v>
      </c>
    </row>
    <row r="212" spans="1:8" ht="22.5" customHeight="1" x14ac:dyDescent="0.25">
      <c r="A212" s="8">
        <v>46083</v>
      </c>
      <c r="B212" s="7" t="s">
        <v>330</v>
      </c>
      <c r="C212" s="7" t="s">
        <v>41</v>
      </c>
      <c r="D212" s="7">
        <v>3000</v>
      </c>
      <c r="E212" s="7" t="s">
        <v>180</v>
      </c>
      <c r="F212" s="7" t="s">
        <v>27</v>
      </c>
      <c r="G212" s="7" t="s">
        <v>24</v>
      </c>
      <c r="H212" s="7" t="str">
        <f t="shared" si="0"/>
        <v>marzo 2026</v>
      </c>
    </row>
    <row r="213" spans="1:8" ht="22.5" customHeight="1" x14ac:dyDescent="0.25">
      <c r="A213" s="8">
        <v>46084</v>
      </c>
      <c r="B213" s="7" t="s">
        <v>166</v>
      </c>
      <c r="C213" s="7" t="s">
        <v>41</v>
      </c>
      <c r="D213" s="7">
        <v>13600</v>
      </c>
      <c r="E213" s="7" t="s">
        <v>180</v>
      </c>
      <c r="F213" s="7" t="s">
        <v>27</v>
      </c>
      <c r="G213" s="7" t="s">
        <v>24</v>
      </c>
      <c r="H213" s="7" t="str">
        <f t="shared" si="0"/>
        <v>marzo 2026</v>
      </c>
    </row>
    <row r="214" spans="1:8" ht="22.5" customHeight="1" x14ac:dyDescent="0.25">
      <c r="A214" s="8">
        <v>46086</v>
      </c>
      <c r="B214" s="7" t="s">
        <v>331</v>
      </c>
      <c r="C214" s="7" t="s">
        <v>20</v>
      </c>
      <c r="D214" s="7">
        <v>792</v>
      </c>
      <c r="E214" s="7" t="s">
        <v>275</v>
      </c>
      <c r="F214" s="7" t="s">
        <v>24</v>
      </c>
      <c r="G214" s="7" t="s">
        <v>27</v>
      </c>
      <c r="H214" s="7" t="str">
        <f t="shared" si="0"/>
        <v>marzo 2026</v>
      </c>
    </row>
    <row r="215" spans="1:8" ht="22.5" customHeight="1" x14ac:dyDescent="0.25">
      <c r="A215" s="8">
        <v>46089</v>
      </c>
      <c r="B215" s="7" t="s">
        <v>332</v>
      </c>
      <c r="C215" s="7" t="s">
        <v>20</v>
      </c>
      <c r="D215" s="7">
        <v>600000</v>
      </c>
      <c r="E215" s="7" t="s">
        <v>50</v>
      </c>
      <c r="F215" s="7" t="s">
        <v>24</v>
      </c>
      <c r="G215" s="7" t="s">
        <v>27</v>
      </c>
      <c r="H215" s="7" t="str">
        <f t="shared" si="0"/>
        <v>marzo 2026</v>
      </c>
    </row>
    <row r="216" spans="1:8" ht="22.5" customHeight="1" x14ac:dyDescent="0.25">
      <c r="A216" s="8">
        <v>46089</v>
      </c>
      <c r="B216" s="7" t="s">
        <v>333</v>
      </c>
      <c r="C216" s="7" t="s">
        <v>20</v>
      </c>
      <c r="D216" s="7">
        <v>226298</v>
      </c>
      <c r="E216" s="7" t="s">
        <v>72</v>
      </c>
      <c r="F216" s="7" t="s">
        <v>24</v>
      </c>
      <c r="G216" s="7" t="s">
        <v>27</v>
      </c>
      <c r="H216" s="7" t="str">
        <f t="shared" si="0"/>
        <v>marzo 2026</v>
      </c>
    </row>
    <row r="217" spans="1:8" ht="22.5" customHeight="1" x14ac:dyDescent="0.25">
      <c r="A217" s="8">
        <v>46089</v>
      </c>
      <c r="B217" s="7" t="s">
        <v>334</v>
      </c>
      <c r="C217" s="7" t="s">
        <v>41</v>
      </c>
      <c r="D217" s="7">
        <v>613155</v>
      </c>
      <c r="E217" s="7" t="s">
        <v>84</v>
      </c>
      <c r="F217" s="7" t="s">
        <v>27</v>
      </c>
      <c r="G217" s="7" t="s">
        <v>24</v>
      </c>
      <c r="H217" s="7" t="str">
        <f t="shared" si="0"/>
        <v>marzo 2026</v>
      </c>
    </row>
    <row r="218" spans="1:8" ht="22.5" customHeight="1" x14ac:dyDescent="0.25">
      <c r="A218" s="8">
        <v>46089</v>
      </c>
      <c r="B218" s="7" t="s">
        <v>335</v>
      </c>
      <c r="C218" s="7" t="s">
        <v>41</v>
      </c>
      <c r="D218" s="7">
        <v>12000</v>
      </c>
      <c r="E218" s="7" t="s">
        <v>31</v>
      </c>
      <c r="F218" s="7" t="s">
        <v>27</v>
      </c>
      <c r="G218" s="7" t="s">
        <v>24</v>
      </c>
      <c r="H218" s="7" t="str">
        <f t="shared" si="0"/>
        <v>marzo 2026</v>
      </c>
    </row>
    <row r="219" spans="1:8" ht="22.5" customHeight="1" x14ac:dyDescent="0.25">
      <c r="A219" s="8">
        <v>46089</v>
      </c>
      <c r="B219" s="7" t="s">
        <v>336</v>
      </c>
      <c r="C219" s="7" t="s">
        <v>41</v>
      </c>
      <c r="D219" s="7">
        <v>55000</v>
      </c>
      <c r="E219" s="7" t="s">
        <v>180</v>
      </c>
      <c r="F219" s="7" t="s">
        <v>27</v>
      </c>
      <c r="G219" s="7" t="s">
        <v>24</v>
      </c>
      <c r="H219" s="7" t="str">
        <f t="shared" si="0"/>
        <v>marzo 2026</v>
      </c>
    </row>
    <row r="220" spans="1:8" ht="22.5" customHeight="1" x14ac:dyDescent="0.25">
      <c r="A220" s="8">
        <v>46090</v>
      </c>
      <c r="B220" s="7" t="s">
        <v>337</v>
      </c>
      <c r="C220" s="7" t="s">
        <v>41</v>
      </c>
      <c r="D220" s="7">
        <v>59000</v>
      </c>
      <c r="E220" s="7" t="s">
        <v>76</v>
      </c>
      <c r="F220" s="7" t="s">
        <v>27</v>
      </c>
      <c r="G220" s="7" t="s">
        <v>24</v>
      </c>
      <c r="H220" s="7" t="str">
        <f t="shared" si="0"/>
        <v>marzo 2026</v>
      </c>
    </row>
    <row r="221" spans="1:8" ht="22.5" customHeight="1" x14ac:dyDescent="0.25">
      <c r="A221" s="8">
        <v>46090</v>
      </c>
      <c r="B221" s="7" t="s">
        <v>338</v>
      </c>
      <c r="C221" s="7" t="s">
        <v>20</v>
      </c>
      <c r="D221" s="7">
        <v>172410</v>
      </c>
      <c r="E221" s="7" t="s">
        <v>120</v>
      </c>
      <c r="F221" s="7" t="s">
        <v>24</v>
      </c>
      <c r="G221" s="7" t="s">
        <v>27</v>
      </c>
      <c r="H221" s="7" t="str">
        <f t="shared" si="0"/>
        <v>marzo 2026</v>
      </c>
    </row>
    <row r="222" spans="1:8" ht="22.5" customHeight="1" x14ac:dyDescent="0.25">
      <c r="A222" s="8">
        <v>46090</v>
      </c>
      <c r="B222" s="7" t="s">
        <v>338</v>
      </c>
      <c r="C222" s="7" t="s">
        <v>20</v>
      </c>
      <c r="D222" s="7">
        <v>41841</v>
      </c>
      <c r="E222" s="7" t="s">
        <v>120</v>
      </c>
      <c r="F222" s="7" t="s">
        <v>24</v>
      </c>
      <c r="G222" s="7" t="s">
        <v>27</v>
      </c>
      <c r="H222" s="7" t="str">
        <f t="shared" si="0"/>
        <v>marzo 2026</v>
      </c>
    </row>
    <row r="223" spans="1:8" ht="22.5" customHeight="1" x14ac:dyDescent="0.25">
      <c r="A223" s="8">
        <v>46090</v>
      </c>
      <c r="B223" s="7" t="s">
        <v>339</v>
      </c>
      <c r="C223" s="7" t="s">
        <v>41</v>
      </c>
      <c r="D223" s="7">
        <v>20000</v>
      </c>
      <c r="E223" s="7" t="s">
        <v>58</v>
      </c>
      <c r="F223" s="7" t="s">
        <v>27</v>
      </c>
      <c r="G223" s="7" t="s">
        <v>24</v>
      </c>
      <c r="H223" s="7" t="str">
        <f t="shared" si="0"/>
        <v>marzo 2026</v>
      </c>
    </row>
    <row r="224" spans="1:8" ht="22.5" customHeight="1" x14ac:dyDescent="0.25">
      <c r="A224" s="8">
        <v>46090</v>
      </c>
      <c r="B224" s="7" t="s">
        <v>340</v>
      </c>
      <c r="C224" s="7" t="s">
        <v>41</v>
      </c>
      <c r="D224" s="7">
        <v>32132</v>
      </c>
      <c r="E224" s="7" t="s">
        <v>58</v>
      </c>
      <c r="F224" s="7" t="s">
        <v>27</v>
      </c>
      <c r="G224" s="7" t="s">
        <v>24</v>
      </c>
      <c r="H224" s="7" t="str">
        <f t="shared" si="0"/>
        <v>marzo 2026</v>
      </c>
    </row>
    <row r="225" spans="1:8" ht="22.5" customHeight="1" x14ac:dyDescent="0.25">
      <c r="A225" s="8">
        <v>46090</v>
      </c>
      <c r="B225" s="7" t="s">
        <v>341</v>
      </c>
      <c r="C225" s="7" t="s">
        <v>20</v>
      </c>
      <c r="D225" s="7">
        <v>2177235</v>
      </c>
      <c r="E225" s="7" t="s">
        <v>0</v>
      </c>
      <c r="F225" s="7" t="s">
        <v>24</v>
      </c>
      <c r="G225" s="7" t="s">
        <v>27</v>
      </c>
      <c r="H225" s="7" t="str">
        <f t="shared" si="0"/>
        <v>marzo 2026</v>
      </c>
    </row>
    <row r="226" spans="1:8" ht="22.5" customHeight="1" x14ac:dyDescent="0.25">
      <c r="A226" s="8">
        <v>46091</v>
      </c>
      <c r="B226" s="7" t="s">
        <v>342</v>
      </c>
      <c r="C226" s="7" t="s">
        <v>41</v>
      </c>
      <c r="D226" s="7">
        <v>145000</v>
      </c>
      <c r="E226" s="7" t="s">
        <v>50</v>
      </c>
      <c r="F226" s="7" t="s">
        <v>27</v>
      </c>
      <c r="G226" s="7" t="s">
        <v>24</v>
      </c>
      <c r="H226" s="7" t="str">
        <f t="shared" si="0"/>
        <v>marzo 2026</v>
      </c>
    </row>
    <row r="227" spans="1:8" ht="22.5" customHeight="1" x14ac:dyDescent="0.25">
      <c r="A227" s="8">
        <v>46091</v>
      </c>
      <c r="B227" s="7" t="s">
        <v>343</v>
      </c>
      <c r="C227" s="7" t="s">
        <v>41</v>
      </c>
      <c r="D227" s="7">
        <v>126000</v>
      </c>
      <c r="E227" s="7" t="s">
        <v>50</v>
      </c>
      <c r="F227" s="7" t="s">
        <v>27</v>
      </c>
      <c r="G227" s="7" t="s">
        <v>24</v>
      </c>
      <c r="H227" s="7" t="str">
        <f t="shared" si="0"/>
        <v>marzo 2026</v>
      </c>
    </row>
    <row r="228" spans="1:8" ht="22.5" customHeight="1" x14ac:dyDescent="0.25">
      <c r="A228" s="8">
        <v>46091</v>
      </c>
      <c r="B228" s="7" t="s">
        <v>344</v>
      </c>
      <c r="C228" s="7" t="s">
        <v>20</v>
      </c>
      <c r="D228" s="7">
        <v>55000</v>
      </c>
      <c r="E228" s="7" t="s">
        <v>72</v>
      </c>
      <c r="F228" s="7" t="s">
        <v>24</v>
      </c>
      <c r="G228" s="7" t="s">
        <v>27</v>
      </c>
      <c r="H228" s="7" t="str">
        <f t="shared" si="0"/>
        <v>marzo 2026</v>
      </c>
    </row>
    <row r="229" spans="1:8" ht="22.5" customHeight="1" x14ac:dyDescent="0.25">
      <c r="A229" s="8">
        <v>46095</v>
      </c>
      <c r="B229" s="7" t="s">
        <v>345</v>
      </c>
      <c r="C229" s="7" t="s">
        <v>41</v>
      </c>
      <c r="D229" s="7">
        <v>3000</v>
      </c>
      <c r="E229" s="7" t="s">
        <v>31</v>
      </c>
      <c r="F229" s="7" t="s">
        <v>27</v>
      </c>
      <c r="G229" s="7" t="s">
        <v>24</v>
      </c>
      <c r="H229" s="7" t="str">
        <f t="shared" si="0"/>
        <v>marzo 2026</v>
      </c>
    </row>
    <row r="230" spans="1:8" ht="22.5" customHeight="1" x14ac:dyDescent="0.25">
      <c r="A230" s="8">
        <v>46096</v>
      </c>
      <c r="B230" s="7" t="s">
        <v>346</v>
      </c>
      <c r="C230" s="7" t="s">
        <v>20</v>
      </c>
      <c r="D230" s="7">
        <v>8000</v>
      </c>
      <c r="E230" s="7" t="s">
        <v>72</v>
      </c>
      <c r="F230" s="7" t="s">
        <v>24</v>
      </c>
      <c r="G230" s="7" t="s">
        <v>27</v>
      </c>
      <c r="H230" s="7" t="str">
        <f t="shared" si="0"/>
        <v>marzo 2026</v>
      </c>
    </row>
    <row r="231" spans="1:8" ht="22.5" customHeight="1" x14ac:dyDescent="0.25">
      <c r="A231" s="8">
        <v>46096</v>
      </c>
      <c r="B231" s="7" t="s">
        <v>347</v>
      </c>
      <c r="C231" s="7" t="s">
        <v>41</v>
      </c>
      <c r="D231" s="7">
        <v>10000</v>
      </c>
      <c r="E231" s="7" t="s">
        <v>31</v>
      </c>
      <c r="F231" s="7" t="s">
        <v>27</v>
      </c>
      <c r="G231" s="7" t="s">
        <v>24</v>
      </c>
      <c r="H231" s="7" t="str">
        <f t="shared" si="0"/>
        <v>marzo 2026</v>
      </c>
    </row>
    <row r="232" spans="1:8" ht="22.5" customHeight="1" x14ac:dyDescent="0.25">
      <c r="A232" s="8">
        <v>46097</v>
      </c>
      <c r="B232" s="7" t="s">
        <v>348</v>
      </c>
      <c r="C232" s="7" t="s">
        <v>20</v>
      </c>
      <c r="D232" s="7">
        <v>20000</v>
      </c>
      <c r="E232" s="7" t="s">
        <v>72</v>
      </c>
      <c r="F232" s="7" t="s">
        <v>24</v>
      </c>
      <c r="G232" s="7" t="s">
        <v>27</v>
      </c>
      <c r="H232" s="7" t="str">
        <f t="shared" si="0"/>
        <v>marzo 2026</v>
      </c>
    </row>
    <row r="233" spans="1:8" ht="22.5" customHeight="1" x14ac:dyDescent="0.25">
      <c r="A233" s="8">
        <v>46097</v>
      </c>
      <c r="B233" s="7" t="s">
        <v>348</v>
      </c>
      <c r="C233" s="7" t="s">
        <v>20</v>
      </c>
      <c r="D233" s="7">
        <v>7654</v>
      </c>
      <c r="E233" s="7" t="s">
        <v>72</v>
      </c>
      <c r="F233" s="7" t="s">
        <v>24</v>
      </c>
      <c r="G233" s="7" t="s">
        <v>27</v>
      </c>
      <c r="H233" s="7" t="str">
        <f t="shared" si="0"/>
        <v>marzo 2026</v>
      </c>
    </row>
    <row r="234" spans="1:8" ht="22.5" customHeight="1" x14ac:dyDescent="0.25">
      <c r="A234" s="8">
        <v>46097</v>
      </c>
      <c r="B234" s="7" t="s">
        <v>349</v>
      </c>
      <c r="C234" s="7" t="s">
        <v>20</v>
      </c>
      <c r="D234" s="7">
        <v>700000</v>
      </c>
      <c r="E234" s="7" t="s">
        <v>50</v>
      </c>
      <c r="F234" s="7" t="s">
        <v>24</v>
      </c>
      <c r="G234" s="7" t="s">
        <v>27</v>
      </c>
      <c r="H234" s="7" t="str">
        <f t="shared" si="0"/>
        <v>marzo 2026</v>
      </c>
    </row>
    <row r="235" spans="1:8" ht="22.5" customHeight="1" x14ac:dyDescent="0.25">
      <c r="A235" s="8">
        <v>46098</v>
      </c>
      <c r="B235" s="7" t="s">
        <v>350</v>
      </c>
      <c r="C235" s="7" t="s">
        <v>41</v>
      </c>
      <c r="D235" s="7">
        <v>244600</v>
      </c>
      <c r="E235" s="7" t="s">
        <v>58</v>
      </c>
      <c r="F235" s="7" t="s">
        <v>27</v>
      </c>
      <c r="G235" s="7" t="s">
        <v>24</v>
      </c>
      <c r="H235" s="7" t="str">
        <f t="shared" si="0"/>
        <v>marzo 2026</v>
      </c>
    </row>
    <row r="236" spans="1:8" ht="22.5" customHeight="1" x14ac:dyDescent="0.25">
      <c r="A236" s="8">
        <v>46098</v>
      </c>
      <c r="B236" s="7" t="s">
        <v>351</v>
      </c>
      <c r="C236" s="7" t="s">
        <v>41</v>
      </c>
      <c r="D236" s="7">
        <v>65000</v>
      </c>
      <c r="E236" s="7" t="s">
        <v>145</v>
      </c>
      <c r="F236" s="7" t="s">
        <v>27</v>
      </c>
      <c r="G236" s="7" t="s">
        <v>24</v>
      </c>
      <c r="H236" s="7" t="str">
        <f t="shared" si="0"/>
        <v>marzo 2026</v>
      </c>
    </row>
    <row r="237" spans="1:8" ht="22.5" customHeight="1" x14ac:dyDescent="0.25">
      <c r="A237" s="8">
        <v>46098</v>
      </c>
      <c r="B237" s="7" t="s">
        <v>352</v>
      </c>
      <c r="C237" s="7" t="s">
        <v>20</v>
      </c>
      <c r="D237" s="7">
        <v>65000</v>
      </c>
      <c r="E237" s="7" t="s">
        <v>72</v>
      </c>
      <c r="F237" s="7" t="s">
        <v>24</v>
      </c>
      <c r="G237" s="7" t="s">
        <v>27</v>
      </c>
      <c r="H237" s="7" t="str">
        <f t="shared" si="0"/>
        <v>marzo 2026</v>
      </c>
    </row>
    <row r="238" spans="1:8" ht="22.5" customHeight="1" x14ac:dyDescent="0.25">
      <c r="A238" s="8">
        <v>46099</v>
      </c>
      <c r="B238" s="7" t="s">
        <v>353</v>
      </c>
      <c r="C238" s="7" t="s">
        <v>354</v>
      </c>
      <c r="D238" s="7">
        <v>290000</v>
      </c>
      <c r="E238" s="7" t="s">
        <v>355</v>
      </c>
      <c r="F238" s="7" t="s">
        <v>27</v>
      </c>
      <c r="G238" s="7" t="s">
        <v>355</v>
      </c>
      <c r="H238" s="7" t="str">
        <f t="shared" si="0"/>
        <v>marzo 2026</v>
      </c>
    </row>
    <row r="239" spans="1:8" ht="22.5" customHeight="1" x14ac:dyDescent="0.25">
      <c r="A239" s="8">
        <v>46100</v>
      </c>
      <c r="B239" s="7" t="s">
        <v>356</v>
      </c>
      <c r="C239" s="7" t="s">
        <v>20</v>
      </c>
      <c r="D239" s="7">
        <v>10000</v>
      </c>
      <c r="E239" s="7" t="s">
        <v>72</v>
      </c>
      <c r="F239" s="7" t="s">
        <v>24</v>
      </c>
      <c r="G239" s="7" t="s">
        <v>27</v>
      </c>
      <c r="H239" s="7" t="str">
        <f t="shared" si="0"/>
        <v>marzo 2026</v>
      </c>
    </row>
    <row r="240" spans="1:8" ht="22.5" customHeight="1" x14ac:dyDescent="0.25">
      <c r="A240" s="8">
        <v>46100</v>
      </c>
      <c r="B240" s="7" t="s">
        <v>357</v>
      </c>
      <c r="C240" s="7" t="s">
        <v>41</v>
      </c>
      <c r="D240" s="7">
        <v>6000</v>
      </c>
      <c r="E240" s="7" t="s">
        <v>76</v>
      </c>
      <c r="F240" s="7" t="s">
        <v>27</v>
      </c>
      <c r="G240" s="7" t="s">
        <v>24</v>
      </c>
      <c r="H240" s="7" t="str">
        <f t="shared" si="0"/>
        <v>marzo 2026</v>
      </c>
    </row>
    <row r="241" spans="1:8" ht="22.5" customHeight="1" x14ac:dyDescent="0.25">
      <c r="A241" s="8">
        <v>46101</v>
      </c>
      <c r="B241" s="7" t="s">
        <v>353</v>
      </c>
      <c r="C241" s="7" t="s">
        <v>354</v>
      </c>
      <c r="D241" s="7">
        <v>442900</v>
      </c>
      <c r="E241" s="7" t="s">
        <v>355</v>
      </c>
      <c r="F241" s="7" t="s">
        <v>27</v>
      </c>
      <c r="G241" s="7" t="s">
        <v>355</v>
      </c>
      <c r="H241" s="7" t="str">
        <f t="shared" si="0"/>
        <v>marzo 2026</v>
      </c>
    </row>
    <row r="242" spans="1:8" ht="22.5" customHeight="1" x14ac:dyDescent="0.25">
      <c r="A242" s="8">
        <v>46103</v>
      </c>
      <c r="B242" s="7" t="s">
        <v>358</v>
      </c>
      <c r="C242" s="7" t="s">
        <v>20</v>
      </c>
      <c r="D242" s="7">
        <v>600000</v>
      </c>
      <c r="E242" s="7" t="s">
        <v>50</v>
      </c>
      <c r="F242" s="7" t="s">
        <v>24</v>
      </c>
      <c r="G242" s="7" t="s">
        <v>27</v>
      </c>
      <c r="H242" s="7" t="str">
        <f t="shared" si="0"/>
        <v>marzo 2026</v>
      </c>
    </row>
    <row r="243" spans="1:8" ht="22.5" customHeight="1" x14ac:dyDescent="0.25">
      <c r="A243" s="8">
        <v>46103</v>
      </c>
      <c r="B243" s="7" t="s">
        <v>359</v>
      </c>
      <c r="C243" s="7" t="s">
        <v>41</v>
      </c>
      <c r="D243" s="7">
        <v>600000</v>
      </c>
      <c r="E243" s="7" t="s">
        <v>360</v>
      </c>
      <c r="F243" s="7" t="s">
        <v>27</v>
      </c>
      <c r="G243" s="7" t="s">
        <v>24</v>
      </c>
      <c r="H243" s="7" t="str">
        <f t="shared" si="0"/>
        <v>marzo 2026</v>
      </c>
    </row>
    <row r="244" spans="1:8" ht="22.5" customHeight="1" x14ac:dyDescent="0.25">
      <c r="A244" s="8">
        <v>46103</v>
      </c>
      <c r="B244" s="7" t="s">
        <v>361</v>
      </c>
      <c r="C244" s="7" t="s">
        <v>20</v>
      </c>
      <c r="D244" s="7">
        <v>250000</v>
      </c>
      <c r="E244" s="7" t="s">
        <v>50</v>
      </c>
      <c r="F244" s="7" t="s">
        <v>24</v>
      </c>
      <c r="G244" s="7" t="s">
        <v>27</v>
      </c>
      <c r="H244" s="7" t="str">
        <f t="shared" si="0"/>
        <v>marzo 2026</v>
      </c>
    </row>
    <row r="245" spans="1:8" ht="22.5" customHeight="1" x14ac:dyDescent="0.25">
      <c r="A245" s="8">
        <v>46103</v>
      </c>
      <c r="B245" s="7" t="s">
        <v>140</v>
      </c>
      <c r="C245" s="7" t="s">
        <v>41</v>
      </c>
      <c r="D245" s="7">
        <v>23000</v>
      </c>
      <c r="E245" s="7" t="s">
        <v>187</v>
      </c>
      <c r="F245" s="7" t="s">
        <v>27</v>
      </c>
      <c r="G245" s="7" t="s">
        <v>24</v>
      </c>
      <c r="H245" s="7" t="str">
        <f t="shared" si="0"/>
        <v>marzo 2026</v>
      </c>
    </row>
    <row r="246" spans="1:8" ht="22.5" customHeight="1" x14ac:dyDescent="0.25">
      <c r="A246" s="8">
        <v>46102</v>
      </c>
      <c r="B246" s="7" t="s">
        <v>252</v>
      </c>
      <c r="C246" s="7" t="s">
        <v>41</v>
      </c>
      <c r="D246" s="7">
        <v>9200</v>
      </c>
      <c r="E246" s="7" t="s">
        <v>180</v>
      </c>
      <c r="F246" s="7" t="s">
        <v>27</v>
      </c>
      <c r="G246" s="7" t="s">
        <v>24</v>
      </c>
      <c r="H246" s="7" t="str">
        <f t="shared" si="0"/>
        <v>marzo 2026</v>
      </c>
    </row>
    <row r="247" spans="1:8" ht="22.5" customHeight="1" x14ac:dyDescent="0.25">
      <c r="A247" s="8">
        <v>46103</v>
      </c>
      <c r="B247" s="7" t="s">
        <v>362</v>
      </c>
      <c r="C247" s="7" t="s">
        <v>41</v>
      </c>
      <c r="D247" s="7">
        <v>3000</v>
      </c>
      <c r="E247" s="7" t="s">
        <v>180</v>
      </c>
      <c r="F247" s="7" t="s">
        <v>27</v>
      </c>
      <c r="G247" s="7" t="s">
        <v>24</v>
      </c>
      <c r="H247" s="7" t="str">
        <f t="shared" si="0"/>
        <v>marzo 2026</v>
      </c>
    </row>
    <row r="248" spans="1:8" ht="22.5" customHeight="1" x14ac:dyDescent="0.25">
      <c r="A248" s="8">
        <v>46105</v>
      </c>
      <c r="B248" s="7" t="s">
        <v>276</v>
      </c>
      <c r="C248" s="7" t="s">
        <v>41</v>
      </c>
      <c r="D248" s="7">
        <v>35000</v>
      </c>
      <c r="E248" s="7" t="s">
        <v>180</v>
      </c>
      <c r="F248" s="7" t="s">
        <v>27</v>
      </c>
      <c r="G248" s="7" t="s">
        <v>24</v>
      </c>
      <c r="H248" s="7" t="str">
        <f t="shared" si="0"/>
        <v>marzo 2026</v>
      </c>
    </row>
    <row r="249" spans="1:8" ht="22.5" customHeight="1" x14ac:dyDescent="0.25">
      <c r="A249" s="8">
        <v>46107</v>
      </c>
      <c r="B249" s="7" t="s">
        <v>363</v>
      </c>
      <c r="C249" s="7" t="s">
        <v>20</v>
      </c>
      <c r="D249" s="7">
        <v>20000</v>
      </c>
      <c r="E249" s="7" t="s">
        <v>72</v>
      </c>
      <c r="F249" s="7" t="s">
        <v>24</v>
      </c>
      <c r="G249" s="7" t="s">
        <v>27</v>
      </c>
      <c r="H249" s="7" t="str">
        <f t="shared" si="0"/>
        <v>marzo 2026</v>
      </c>
    </row>
    <row r="250" spans="1:8" ht="22.5" customHeight="1" x14ac:dyDescent="0.25">
      <c r="A250" s="8">
        <v>46107</v>
      </c>
      <c r="B250" s="7" t="s">
        <v>364</v>
      </c>
      <c r="C250" s="7" t="s">
        <v>20</v>
      </c>
      <c r="D250" s="7">
        <v>500000</v>
      </c>
      <c r="E250" s="7" t="s">
        <v>50</v>
      </c>
      <c r="F250" s="7" t="s">
        <v>24</v>
      </c>
      <c r="G250" s="7" t="s">
        <v>27</v>
      </c>
      <c r="H250" s="7" t="str">
        <f t="shared" si="0"/>
        <v>marzo 2026</v>
      </c>
    </row>
    <row r="251" spans="1:8" ht="22.5" customHeight="1" x14ac:dyDescent="0.25">
      <c r="A251" s="8">
        <v>46107</v>
      </c>
      <c r="B251" s="7" t="s">
        <v>365</v>
      </c>
      <c r="C251" s="7" t="s">
        <v>20</v>
      </c>
      <c r="D251" s="7">
        <v>207001</v>
      </c>
      <c r="E251" s="7" t="s">
        <v>50</v>
      </c>
      <c r="F251" s="7" t="s">
        <v>24</v>
      </c>
      <c r="G251" s="7" t="s">
        <v>27</v>
      </c>
      <c r="H251" s="7" t="str">
        <f t="shared" si="0"/>
        <v>marzo 2026</v>
      </c>
    </row>
    <row r="252" spans="1:8" ht="22.5" customHeight="1" x14ac:dyDescent="0.25">
      <c r="A252" s="8">
        <v>46109</v>
      </c>
      <c r="B252" s="7" t="s">
        <v>353</v>
      </c>
      <c r="C252" s="7" t="s">
        <v>354</v>
      </c>
      <c r="D252" s="7">
        <v>890000</v>
      </c>
      <c r="E252" s="7" t="s">
        <v>355</v>
      </c>
      <c r="F252" s="7" t="s">
        <v>27</v>
      </c>
      <c r="G252" s="7" t="s">
        <v>355</v>
      </c>
      <c r="H252" s="7" t="str">
        <f t="shared" si="0"/>
        <v>marzo 2026</v>
      </c>
    </row>
    <row r="253" spans="1:8" ht="22.5" customHeight="1" x14ac:dyDescent="0.25">
      <c r="A253" s="8">
        <v>46111</v>
      </c>
      <c r="B253" s="7" t="s">
        <v>366</v>
      </c>
      <c r="C253" s="7" t="s">
        <v>41</v>
      </c>
      <c r="D253" s="7">
        <v>8000</v>
      </c>
      <c r="E253" s="7" t="s">
        <v>180</v>
      </c>
      <c r="F253" s="7" t="s">
        <v>27</v>
      </c>
      <c r="G253" s="7" t="s">
        <v>24</v>
      </c>
      <c r="H253" s="7" t="str">
        <f t="shared" si="0"/>
        <v>marzo 2026</v>
      </c>
    </row>
    <row r="254" spans="1:8" ht="22.5" customHeight="1" x14ac:dyDescent="0.25">
      <c r="A254" s="8">
        <v>46113</v>
      </c>
      <c r="B254" s="7" t="s">
        <v>367</v>
      </c>
      <c r="C254" s="7" t="s">
        <v>20</v>
      </c>
      <c r="D254" s="7">
        <v>23000</v>
      </c>
      <c r="E254" s="7" t="s">
        <v>72</v>
      </c>
      <c r="F254" s="7" t="s">
        <v>24</v>
      </c>
      <c r="G254" s="7" t="s">
        <v>27</v>
      </c>
      <c r="H254" s="7" t="str">
        <f t="shared" si="0"/>
        <v>abril 2026</v>
      </c>
    </row>
    <row r="255" spans="1:8" ht="22.5" customHeight="1" x14ac:dyDescent="0.25">
      <c r="A255" s="8">
        <v>46113</v>
      </c>
      <c r="B255" s="7" t="s">
        <v>368</v>
      </c>
      <c r="C255" s="7" t="s">
        <v>41</v>
      </c>
      <c r="D255" s="7">
        <v>41000</v>
      </c>
      <c r="E255" s="7" t="s">
        <v>76</v>
      </c>
      <c r="F255" s="7" t="s">
        <v>27</v>
      </c>
      <c r="G255" s="7" t="s">
        <v>24</v>
      </c>
      <c r="H255" s="7" t="str">
        <f t="shared" si="0"/>
        <v>abril 2026</v>
      </c>
    </row>
    <row r="256" spans="1:8" ht="22.5" customHeight="1" x14ac:dyDescent="0.25">
      <c r="A256" s="8">
        <v>46114</v>
      </c>
      <c r="B256" s="7" t="s">
        <v>369</v>
      </c>
      <c r="C256" s="7" t="s">
        <v>20</v>
      </c>
      <c r="D256" s="7">
        <v>200000</v>
      </c>
      <c r="E256" s="7" t="s">
        <v>50</v>
      </c>
      <c r="F256" s="7" t="s">
        <v>24</v>
      </c>
      <c r="G256" s="7" t="s">
        <v>27</v>
      </c>
      <c r="H256" s="7" t="str">
        <f t="shared" si="0"/>
        <v>abril 2026</v>
      </c>
    </row>
    <row r="257" spans="1:8" ht="22.5" customHeight="1" x14ac:dyDescent="0.25">
      <c r="A257" s="8">
        <v>46114</v>
      </c>
      <c r="B257" s="7" t="s">
        <v>370</v>
      </c>
      <c r="C257" s="7" t="s">
        <v>20</v>
      </c>
      <c r="D257" s="7">
        <v>273500</v>
      </c>
      <c r="E257" s="7" t="s">
        <v>50</v>
      </c>
      <c r="F257" s="7" t="s">
        <v>24</v>
      </c>
      <c r="G257" s="7" t="s">
        <v>27</v>
      </c>
      <c r="H257" s="7" t="str">
        <f t="shared" ref="H257:H510" si="1">TEXT(A257,"mmmm yyyy")</f>
        <v>abril 2026</v>
      </c>
    </row>
    <row r="258" spans="1:8" ht="22.5" customHeight="1" x14ac:dyDescent="0.25">
      <c r="A258" s="8">
        <v>46115</v>
      </c>
      <c r="B258" s="7" t="s">
        <v>371</v>
      </c>
      <c r="C258" s="7" t="s">
        <v>41</v>
      </c>
      <c r="D258" s="7">
        <v>21000</v>
      </c>
      <c r="E258" s="7" t="s">
        <v>31</v>
      </c>
      <c r="F258" s="7" t="s">
        <v>27</v>
      </c>
      <c r="G258" s="7" t="s">
        <v>24</v>
      </c>
      <c r="H258" s="7" t="str">
        <f t="shared" si="1"/>
        <v>abril 2026</v>
      </c>
    </row>
    <row r="259" spans="1:8" ht="22.5" customHeight="1" x14ac:dyDescent="0.25">
      <c r="A259" s="8">
        <v>46115</v>
      </c>
      <c r="B259" s="7" t="s">
        <v>372</v>
      </c>
      <c r="C259" s="7" t="s">
        <v>41</v>
      </c>
      <c r="D259" s="7">
        <v>34000</v>
      </c>
      <c r="E259" s="7" t="s">
        <v>31</v>
      </c>
      <c r="F259" s="7" t="s">
        <v>27</v>
      </c>
      <c r="G259" s="7" t="s">
        <v>24</v>
      </c>
      <c r="H259" s="7" t="str">
        <f t="shared" si="1"/>
        <v>abril 2026</v>
      </c>
    </row>
    <row r="260" spans="1:8" ht="22.5" customHeight="1" x14ac:dyDescent="0.25">
      <c r="A260" s="8">
        <v>46116</v>
      </c>
      <c r="B260" s="7" t="s">
        <v>166</v>
      </c>
      <c r="C260" s="7" t="s">
        <v>41</v>
      </c>
      <c r="D260" s="7">
        <v>13900</v>
      </c>
      <c r="E260" s="7" t="s">
        <v>58</v>
      </c>
      <c r="F260" s="7" t="s">
        <v>27</v>
      </c>
      <c r="G260" s="7" t="s">
        <v>24</v>
      </c>
      <c r="H260" s="7" t="str">
        <f t="shared" si="1"/>
        <v>abril 2026</v>
      </c>
    </row>
    <row r="261" spans="1:8" ht="22.5" customHeight="1" x14ac:dyDescent="0.25">
      <c r="A261" s="8">
        <v>46116</v>
      </c>
      <c r="B261" s="7" t="s">
        <v>373</v>
      </c>
      <c r="C261" s="7" t="s">
        <v>41</v>
      </c>
      <c r="D261" s="7">
        <v>10000</v>
      </c>
      <c r="E261" s="7" t="s">
        <v>31</v>
      </c>
      <c r="F261" s="7" t="s">
        <v>27</v>
      </c>
      <c r="G261" s="7" t="s">
        <v>24</v>
      </c>
      <c r="H261" s="7" t="str">
        <f t="shared" si="1"/>
        <v>abril 2026</v>
      </c>
    </row>
    <row r="262" spans="1:8" ht="22.5" customHeight="1" x14ac:dyDescent="0.25">
      <c r="A262" s="8">
        <v>46116</v>
      </c>
      <c r="B262" s="7" t="s">
        <v>374</v>
      </c>
      <c r="C262" s="7" t="s">
        <v>41</v>
      </c>
      <c r="D262" s="7">
        <v>20000</v>
      </c>
      <c r="E262" s="7" t="s">
        <v>31</v>
      </c>
      <c r="F262" s="7" t="s">
        <v>27</v>
      </c>
      <c r="G262" s="7" t="s">
        <v>24</v>
      </c>
      <c r="H262" s="7" t="str">
        <f t="shared" si="1"/>
        <v>abril 2026</v>
      </c>
    </row>
    <row r="263" spans="1:8" ht="22.5" customHeight="1" x14ac:dyDescent="0.25">
      <c r="A263" s="8">
        <v>46116</v>
      </c>
      <c r="B263" s="7" t="s">
        <v>375</v>
      </c>
      <c r="C263" s="7" t="s">
        <v>41</v>
      </c>
      <c r="D263" s="7">
        <v>6000</v>
      </c>
      <c r="E263" s="7" t="s">
        <v>31</v>
      </c>
      <c r="F263" s="7" t="s">
        <v>27</v>
      </c>
      <c r="G263" s="7" t="s">
        <v>24</v>
      </c>
      <c r="H263" s="7" t="str">
        <f t="shared" si="1"/>
        <v>abril 2026</v>
      </c>
    </row>
    <row r="264" spans="1:8" ht="22.5" customHeight="1" x14ac:dyDescent="0.25">
      <c r="A264" s="8">
        <v>46116</v>
      </c>
      <c r="B264" s="7" t="s">
        <v>376</v>
      </c>
      <c r="C264" s="7" t="s">
        <v>41</v>
      </c>
      <c r="D264" s="7">
        <v>8000</v>
      </c>
      <c r="E264" s="7" t="s">
        <v>31</v>
      </c>
      <c r="F264" s="7" t="s">
        <v>27</v>
      </c>
      <c r="G264" s="7" t="s">
        <v>24</v>
      </c>
      <c r="H264" s="7" t="str">
        <f t="shared" si="1"/>
        <v>abril 2026</v>
      </c>
    </row>
    <row r="265" spans="1:8" ht="22.5" customHeight="1" x14ac:dyDescent="0.25">
      <c r="A265" s="8">
        <v>46116</v>
      </c>
      <c r="B265" s="7" t="s">
        <v>377</v>
      </c>
      <c r="C265" s="7" t="s">
        <v>41</v>
      </c>
      <c r="D265" s="7">
        <v>15400</v>
      </c>
      <c r="E265" s="7" t="s">
        <v>31</v>
      </c>
      <c r="F265" s="7" t="s">
        <v>27</v>
      </c>
      <c r="G265" s="7" t="s">
        <v>24</v>
      </c>
      <c r="H265" s="7" t="str">
        <f t="shared" si="1"/>
        <v>abril 2026</v>
      </c>
    </row>
    <row r="266" spans="1:8" ht="22.5" customHeight="1" x14ac:dyDescent="0.25">
      <c r="A266" s="8">
        <v>46117</v>
      </c>
      <c r="B266" s="7" t="s">
        <v>378</v>
      </c>
      <c r="C266" s="7" t="s">
        <v>41</v>
      </c>
      <c r="D266" s="7">
        <v>100000</v>
      </c>
      <c r="E266" s="7" t="s">
        <v>50</v>
      </c>
      <c r="F266" s="7" t="s">
        <v>27</v>
      </c>
      <c r="G266" s="7" t="s">
        <v>24</v>
      </c>
      <c r="H266" s="7" t="str">
        <f t="shared" si="1"/>
        <v>abril 2026</v>
      </c>
    </row>
    <row r="267" spans="1:8" ht="22.5" customHeight="1" x14ac:dyDescent="0.25">
      <c r="A267" s="8">
        <v>46119</v>
      </c>
      <c r="B267" s="7" t="s">
        <v>379</v>
      </c>
      <c r="C267" s="7" t="s">
        <v>41</v>
      </c>
      <c r="D267" s="7">
        <v>100000</v>
      </c>
      <c r="E267" s="7" t="s">
        <v>50</v>
      </c>
      <c r="F267" s="7" t="s">
        <v>27</v>
      </c>
      <c r="G267" s="7" t="s">
        <v>24</v>
      </c>
      <c r="H267" s="7" t="str">
        <f t="shared" si="1"/>
        <v>abril 2026</v>
      </c>
    </row>
    <row r="268" spans="1:8" ht="22.5" customHeight="1" x14ac:dyDescent="0.25">
      <c r="A268" s="8">
        <v>46119</v>
      </c>
      <c r="B268" s="7" t="s">
        <v>380</v>
      </c>
      <c r="C268" s="7" t="s">
        <v>20</v>
      </c>
      <c r="D268" s="7">
        <v>55000</v>
      </c>
      <c r="E268" s="7" t="s">
        <v>72</v>
      </c>
      <c r="F268" s="7" t="s">
        <v>24</v>
      </c>
      <c r="G268" s="7" t="s">
        <v>27</v>
      </c>
      <c r="H268" s="7" t="str">
        <f t="shared" si="1"/>
        <v>abril 2026</v>
      </c>
    </row>
    <row r="269" spans="1:8" ht="22.5" customHeight="1" x14ac:dyDescent="0.25">
      <c r="A269" s="8">
        <v>46120</v>
      </c>
      <c r="B269" s="7" t="s">
        <v>381</v>
      </c>
      <c r="C269" s="7" t="s">
        <v>41</v>
      </c>
      <c r="D269" s="7">
        <v>173000</v>
      </c>
      <c r="E269" s="7" t="s">
        <v>113</v>
      </c>
      <c r="F269" s="7" t="s">
        <v>27</v>
      </c>
      <c r="G269" s="7" t="s">
        <v>24</v>
      </c>
      <c r="H269" s="7" t="str">
        <f t="shared" si="1"/>
        <v>abril 2026</v>
      </c>
    </row>
    <row r="270" spans="1:8" ht="22.5" customHeight="1" x14ac:dyDescent="0.25">
      <c r="A270" s="8">
        <v>46120</v>
      </c>
      <c r="B270" s="7" t="s">
        <v>382</v>
      </c>
      <c r="C270" s="7" t="s">
        <v>20</v>
      </c>
      <c r="D270" s="7">
        <v>262000</v>
      </c>
      <c r="E270" s="7" t="s">
        <v>120</v>
      </c>
      <c r="F270" s="7" t="s">
        <v>24</v>
      </c>
      <c r="G270" s="7" t="s">
        <v>27</v>
      </c>
      <c r="H270" s="7" t="str">
        <f t="shared" si="1"/>
        <v>abril 2026</v>
      </c>
    </row>
    <row r="271" spans="1:8" ht="22.5" customHeight="1" x14ac:dyDescent="0.25">
      <c r="A271" s="8">
        <v>46120</v>
      </c>
      <c r="B271" s="7" t="s">
        <v>383</v>
      </c>
      <c r="C271" s="7" t="s">
        <v>41</v>
      </c>
      <c r="D271" s="7">
        <v>600000</v>
      </c>
      <c r="E271" s="7" t="s">
        <v>50</v>
      </c>
      <c r="F271" s="7" t="s">
        <v>27</v>
      </c>
      <c r="G271" s="7" t="s">
        <v>24</v>
      </c>
      <c r="H271" s="7" t="str">
        <f t="shared" si="1"/>
        <v>abril 2026</v>
      </c>
    </row>
    <row r="272" spans="1:8" ht="22.5" customHeight="1" x14ac:dyDescent="0.25">
      <c r="A272" s="8">
        <v>46120</v>
      </c>
      <c r="B272" s="7" t="s">
        <v>384</v>
      </c>
      <c r="C272" s="7" t="s">
        <v>41</v>
      </c>
      <c r="D272" s="7">
        <v>436000</v>
      </c>
      <c r="E272" s="7" t="s">
        <v>84</v>
      </c>
      <c r="F272" s="7" t="s">
        <v>27</v>
      </c>
      <c r="G272" s="7" t="s">
        <v>24</v>
      </c>
      <c r="H272" s="7" t="str">
        <f t="shared" si="1"/>
        <v>abril 2026</v>
      </c>
    </row>
    <row r="273" spans="1:8" ht="22.5" customHeight="1" x14ac:dyDescent="0.25">
      <c r="A273" s="8">
        <v>46120</v>
      </c>
      <c r="B273" s="7" t="s">
        <v>353</v>
      </c>
      <c r="C273" s="7" t="s">
        <v>354</v>
      </c>
      <c r="D273" s="7">
        <v>1300000</v>
      </c>
      <c r="E273" s="7" t="s">
        <v>355</v>
      </c>
      <c r="F273" s="7" t="s">
        <v>27</v>
      </c>
      <c r="G273" s="7" t="s">
        <v>355</v>
      </c>
      <c r="H273" s="7" t="str">
        <f t="shared" si="1"/>
        <v>abril 2026</v>
      </c>
    </row>
    <row r="274" spans="1:8" ht="22.5" customHeight="1" x14ac:dyDescent="0.25">
      <c r="A274" s="8">
        <v>46120</v>
      </c>
      <c r="B274" s="7" t="s">
        <v>385</v>
      </c>
      <c r="C274" s="7" t="s">
        <v>41</v>
      </c>
      <c r="D274" s="7">
        <v>30000</v>
      </c>
      <c r="E274" s="7" t="s">
        <v>58</v>
      </c>
      <c r="F274" s="7" t="s">
        <v>27</v>
      </c>
      <c r="G274" s="7" t="s">
        <v>24</v>
      </c>
      <c r="H274" s="7" t="str">
        <f t="shared" si="1"/>
        <v>abril 2026</v>
      </c>
    </row>
    <row r="275" spans="1:8" ht="22.5" customHeight="1" x14ac:dyDescent="0.25">
      <c r="A275" s="8">
        <v>46120</v>
      </c>
      <c r="B275" s="7" t="s">
        <v>386</v>
      </c>
      <c r="C275" s="7" t="s">
        <v>41</v>
      </c>
      <c r="D275" s="7">
        <v>21000</v>
      </c>
      <c r="E275" s="7" t="s">
        <v>58</v>
      </c>
      <c r="F275" s="7" t="s">
        <v>27</v>
      </c>
      <c r="G275" s="7" t="s">
        <v>24</v>
      </c>
      <c r="H275" s="7" t="str">
        <f t="shared" si="1"/>
        <v>abril 2026</v>
      </c>
    </row>
    <row r="276" spans="1:8" ht="22.5" customHeight="1" x14ac:dyDescent="0.25">
      <c r="A276" s="8">
        <v>46120</v>
      </c>
      <c r="B276" s="7" t="s">
        <v>387</v>
      </c>
      <c r="C276" s="7" t="s">
        <v>41</v>
      </c>
      <c r="D276" s="7">
        <v>355000</v>
      </c>
      <c r="E276" s="7" t="s">
        <v>50</v>
      </c>
      <c r="F276" s="7" t="s">
        <v>27</v>
      </c>
      <c r="G276" s="7" t="s">
        <v>24</v>
      </c>
      <c r="H276" s="7" t="str">
        <f t="shared" si="1"/>
        <v>abril 2026</v>
      </c>
    </row>
    <row r="277" spans="1:8" ht="22.5" customHeight="1" x14ac:dyDescent="0.25">
      <c r="A277" s="8">
        <v>46121</v>
      </c>
      <c r="B277" s="7" t="s">
        <v>388</v>
      </c>
      <c r="C277" s="7" t="s">
        <v>20</v>
      </c>
      <c r="D277" s="7">
        <v>2314000</v>
      </c>
      <c r="E277" s="7" t="s">
        <v>0</v>
      </c>
      <c r="F277" s="7"/>
      <c r="G277" s="7" t="s">
        <v>389</v>
      </c>
      <c r="H277" s="7" t="str">
        <f t="shared" si="1"/>
        <v>abril 2026</v>
      </c>
    </row>
    <row r="278" spans="1:8" ht="22.5" customHeight="1" x14ac:dyDescent="0.25">
      <c r="A278" s="8">
        <v>46121</v>
      </c>
      <c r="B278" s="7" t="s">
        <v>390</v>
      </c>
      <c r="C278" s="7" t="s">
        <v>354</v>
      </c>
      <c r="D278" s="7">
        <v>2275000</v>
      </c>
      <c r="E278" s="7" t="s">
        <v>391</v>
      </c>
      <c r="F278" s="7" t="s">
        <v>389</v>
      </c>
      <c r="G278" s="7" t="s">
        <v>27</v>
      </c>
      <c r="H278" s="7" t="str">
        <f t="shared" si="1"/>
        <v>abril 2026</v>
      </c>
    </row>
    <row r="279" spans="1:8" ht="22.5" customHeight="1" x14ac:dyDescent="0.25">
      <c r="A279" s="8">
        <v>46121</v>
      </c>
      <c r="B279" s="7" t="s">
        <v>392</v>
      </c>
      <c r="C279" s="7" t="s">
        <v>41</v>
      </c>
      <c r="D279" s="7">
        <v>180000</v>
      </c>
      <c r="E279" s="7" t="s">
        <v>31</v>
      </c>
      <c r="F279" s="7" t="s">
        <v>27</v>
      </c>
      <c r="G279" s="7"/>
      <c r="H279" s="7" t="str">
        <f t="shared" si="1"/>
        <v>abril 2026</v>
      </c>
    </row>
    <row r="280" spans="1:8" ht="22.5" customHeight="1" x14ac:dyDescent="0.25">
      <c r="A280" s="8">
        <v>46121</v>
      </c>
      <c r="B280" s="7" t="s">
        <v>393</v>
      </c>
      <c r="C280" s="7" t="s">
        <v>354</v>
      </c>
      <c r="D280" s="7">
        <v>30000</v>
      </c>
      <c r="E280" s="7" t="s">
        <v>394</v>
      </c>
      <c r="F280" s="7" t="s">
        <v>27</v>
      </c>
      <c r="G280" s="7" t="s">
        <v>72</v>
      </c>
      <c r="H280" s="7" t="str">
        <f t="shared" si="1"/>
        <v>abril 2026</v>
      </c>
    </row>
    <row r="281" spans="1:8" ht="22.5" customHeight="1" x14ac:dyDescent="0.25">
      <c r="A281" s="8">
        <v>46122</v>
      </c>
      <c r="B281" s="7" t="s">
        <v>395</v>
      </c>
      <c r="C281" s="7" t="s">
        <v>41</v>
      </c>
      <c r="D281" s="7">
        <v>10000</v>
      </c>
      <c r="E281" s="7" t="s">
        <v>187</v>
      </c>
      <c r="F281" s="7" t="s">
        <v>27</v>
      </c>
      <c r="G281" s="7"/>
      <c r="H281" s="7" t="str">
        <f t="shared" si="1"/>
        <v>abril 2026</v>
      </c>
    </row>
    <row r="282" spans="1:8" ht="22.5" customHeight="1" x14ac:dyDescent="0.25">
      <c r="A282" s="8">
        <v>46122</v>
      </c>
      <c r="B282" s="7" t="s">
        <v>396</v>
      </c>
      <c r="C282" s="7" t="s">
        <v>354</v>
      </c>
      <c r="D282" s="7">
        <v>200000</v>
      </c>
      <c r="E282" s="7" t="s">
        <v>394</v>
      </c>
      <c r="F282" s="7" t="s">
        <v>27</v>
      </c>
      <c r="G282" s="7" t="s">
        <v>72</v>
      </c>
      <c r="H282" s="7" t="str">
        <f t="shared" si="1"/>
        <v>abril 2026</v>
      </c>
    </row>
    <row r="283" spans="1:8" ht="22.5" customHeight="1" x14ac:dyDescent="0.25">
      <c r="A283" s="8">
        <v>46122</v>
      </c>
      <c r="B283" s="7" t="s">
        <v>397</v>
      </c>
      <c r="C283" s="7" t="s">
        <v>41</v>
      </c>
      <c r="D283" s="7">
        <v>3000</v>
      </c>
      <c r="E283" s="7" t="s">
        <v>31</v>
      </c>
      <c r="F283" s="7" t="s">
        <v>27</v>
      </c>
      <c r="G283" s="7"/>
      <c r="H283" s="7" t="str">
        <f t="shared" si="1"/>
        <v>abril 2026</v>
      </c>
    </row>
    <row r="284" spans="1:8" ht="22.5" customHeight="1" x14ac:dyDescent="0.25">
      <c r="A284" s="8">
        <v>46122</v>
      </c>
      <c r="B284" s="7" t="s">
        <v>398</v>
      </c>
      <c r="C284" s="7" t="s">
        <v>20</v>
      </c>
      <c r="D284" s="7">
        <v>50000</v>
      </c>
      <c r="E284" s="7" t="s">
        <v>72</v>
      </c>
      <c r="F284" s="7"/>
      <c r="G284" s="7" t="s">
        <v>27</v>
      </c>
      <c r="H284" s="7" t="str">
        <f t="shared" si="1"/>
        <v>abril 2026</v>
      </c>
    </row>
    <row r="285" spans="1:8" ht="22.5" customHeight="1" x14ac:dyDescent="0.25">
      <c r="A285" s="8">
        <v>46123</v>
      </c>
      <c r="B285" s="7" t="s">
        <v>399</v>
      </c>
      <c r="C285" s="7" t="s">
        <v>41</v>
      </c>
      <c r="D285" s="7">
        <v>34000</v>
      </c>
      <c r="E285" s="7" t="s">
        <v>31</v>
      </c>
      <c r="F285" s="7" t="s">
        <v>27</v>
      </c>
      <c r="G285" s="7"/>
      <c r="H285" s="7" t="str">
        <f t="shared" si="1"/>
        <v>abril 2026</v>
      </c>
    </row>
    <row r="286" spans="1:8" ht="22.5" customHeight="1" x14ac:dyDescent="0.25">
      <c r="A286" s="8">
        <v>46123</v>
      </c>
      <c r="B286" s="7" t="s">
        <v>400</v>
      </c>
      <c r="C286" s="7" t="s">
        <v>41</v>
      </c>
      <c r="D286" s="7">
        <v>210000</v>
      </c>
      <c r="E286" s="7" t="s">
        <v>187</v>
      </c>
      <c r="F286" s="7" t="s">
        <v>27</v>
      </c>
      <c r="G286" s="7"/>
      <c r="H286" s="7" t="str">
        <f t="shared" si="1"/>
        <v>abril 2026</v>
      </c>
    </row>
    <row r="287" spans="1:8" ht="22.5" customHeight="1" x14ac:dyDescent="0.25">
      <c r="A287" s="8">
        <v>46123</v>
      </c>
      <c r="B287" s="7" t="s">
        <v>401</v>
      </c>
      <c r="C287" s="7" t="s">
        <v>41</v>
      </c>
      <c r="D287" s="7">
        <v>41000</v>
      </c>
      <c r="E287" s="7" t="s">
        <v>31</v>
      </c>
      <c r="F287" s="7" t="s">
        <v>27</v>
      </c>
      <c r="G287" s="7"/>
      <c r="H287" s="7" t="str">
        <f t="shared" si="1"/>
        <v>abril 2026</v>
      </c>
    </row>
    <row r="288" spans="1:8" ht="22.5" customHeight="1" x14ac:dyDescent="0.25">
      <c r="A288" s="8">
        <v>46124</v>
      </c>
      <c r="B288" s="7" t="s">
        <v>402</v>
      </c>
      <c r="C288" s="7" t="s">
        <v>41</v>
      </c>
      <c r="D288" s="7">
        <v>25000</v>
      </c>
      <c r="E288" s="7" t="s">
        <v>31</v>
      </c>
      <c r="F288" s="7" t="s">
        <v>27</v>
      </c>
      <c r="G288" s="7"/>
      <c r="H288" s="7" t="str">
        <f t="shared" si="1"/>
        <v>abril 2026</v>
      </c>
    </row>
    <row r="289" spans="1:8" ht="22.5" customHeight="1" x14ac:dyDescent="0.25">
      <c r="A289" s="8">
        <v>46124</v>
      </c>
      <c r="B289" s="7" t="s">
        <v>403</v>
      </c>
      <c r="C289" s="7" t="s">
        <v>41</v>
      </c>
      <c r="D289" s="7">
        <v>21600</v>
      </c>
      <c r="E289" s="7" t="s">
        <v>31</v>
      </c>
      <c r="F289" s="7" t="s">
        <v>27</v>
      </c>
      <c r="G289" s="7"/>
      <c r="H289" s="7" t="str">
        <f t="shared" si="1"/>
        <v>abril 2026</v>
      </c>
    </row>
    <row r="290" spans="1:8" ht="22.5" customHeight="1" x14ac:dyDescent="0.25">
      <c r="A290" s="8">
        <v>46124</v>
      </c>
      <c r="B290" s="7" t="s">
        <v>404</v>
      </c>
      <c r="C290" s="7" t="s">
        <v>41</v>
      </c>
      <c r="D290" s="7">
        <v>65000</v>
      </c>
      <c r="E290" s="7" t="s">
        <v>145</v>
      </c>
      <c r="F290" s="7" t="s">
        <v>27</v>
      </c>
      <c r="G290" s="7"/>
      <c r="H290" s="7" t="str">
        <f t="shared" si="1"/>
        <v>abril 2026</v>
      </c>
    </row>
    <row r="291" spans="1:8" ht="22.5" customHeight="1" x14ac:dyDescent="0.25">
      <c r="A291" s="8">
        <v>46124</v>
      </c>
      <c r="B291" s="7" t="s">
        <v>405</v>
      </c>
      <c r="C291" s="7" t="s">
        <v>20</v>
      </c>
      <c r="D291" s="7">
        <v>3100</v>
      </c>
      <c r="E291" s="7" t="s">
        <v>406</v>
      </c>
      <c r="F291" s="7"/>
      <c r="G291" s="7" t="s">
        <v>27</v>
      </c>
      <c r="H291" s="7" t="str">
        <f t="shared" si="1"/>
        <v>abril 2026</v>
      </c>
    </row>
    <row r="292" spans="1:8" ht="22.5" customHeight="1" x14ac:dyDescent="0.25">
      <c r="A292" s="8">
        <v>46122</v>
      </c>
      <c r="B292" s="7" t="s">
        <v>407</v>
      </c>
      <c r="C292" s="7" t="s">
        <v>41</v>
      </c>
      <c r="D292" s="7">
        <v>37000</v>
      </c>
      <c r="E292" s="7" t="s">
        <v>58</v>
      </c>
      <c r="F292" s="7" t="s">
        <v>389</v>
      </c>
      <c r="G292" s="7"/>
      <c r="H292" s="7" t="str">
        <f t="shared" si="1"/>
        <v>abril 2026</v>
      </c>
    </row>
    <row r="293" spans="1:8" ht="22.5" customHeight="1" x14ac:dyDescent="0.25">
      <c r="A293" s="8">
        <v>46126</v>
      </c>
      <c r="B293" s="7" t="s">
        <v>408</v>
      </c>
      <c r="C293" s="7" t="s">
        <v>41</v>
      </c>
      <c r="D293" s="7">
        <v>5000</v>
      </c>
      <c r="E293" s="7" t="s">
        <v>31</v>
      </c>
      <c r="F293" s="7" t="s">
        <v>27</v>
      </c>
      <c r="G293" s="7"/>
      <c r="H293" s="7" t="str">
        <f t="shared" si="1"/>
        <v>abril 2026</v>
      </c>
    </row>
    <row r="294" spans="1:8" ht="22.5" customHeight="1" x14ac:dyDescent="0.25">
      <c r="A294" s="8">
        <v>46126</v>
      </c>
      <c r="B294" s="7" t="s">
        <v>409</v>
      </c>
      <c r="C294" s="7" t="s">
        <v>41</v>
      </c>
      <c r="D294" s="7">
        <v>6793</v>
      </c>
      <c r="E294" s="7" t="s">
        <v>31</v>
      </c>
      <c r="F294" s="7" t="s">
        <v>27</v>
      </c>
      <c r="G294" s="7"/>
      <c r="H294" s="7" t="str">
        <f t="shared" si="1"/>
        <v>abril 2026</v>
      </c>
    </row>
    <row r="295" spans="1:8" ht="22.5" customHeight="1" x14ac:dyDescent="0.25">
      <c r="A295" s="8">
        <v>46127</v>
      </c>
      <c r="B295" s="7" t="s">
        <v>410</v>
      </c>
      <c r="C295" s="7" t="s">
        <v>41</v>
      </c>
      <c r="D295" s="7">
        <v>28000</v>
      </c>
      <c r="E295" s="7" t="s">
        <v>31</v>
      </c>
      <c r="F295" s="7" t="s">
        <v>27</v>
      </c>
      <c r="G295" s="7"/>
      <c r="H295" s="7" t="str">
        <f t="shared" si="1"/>
        <v>abril 2026</v>
      </c>
    </row>
    <row r="296" spans="1:8" ht="22.5" customHeight="1" x14ac:dyDescent="0.25">
      <c r="A296" s="8">
        <v>46127</v>
      </c>
      <c r="B296" s="7" t="s">
        <v>281</v>
      </c>
      <c r="C296" s="7" t="s">
        <v>41</v>
      </c>
      <c r="D296" s="7">
        <v>6500</v>
      </c>
      <c r="E296" s="7" t="s">
        <v>31</v>
      </c>
      <c r="F296" s="7" t="s">
        <v>27</v>
      </c>
      <c r="G296" s="7"/>
      <c r="H296" s="7" t="str">
        <f t="shared" si="1"/>
        <v>abril 2026</v>
      </c>
    </row>
    <row r="297" spans="1:8" ht="22.5" customHeight="1" x14ac:dyDescent="0.25">
      <c r="A297" s="8">
        <v>46128</v>
      </c>
      <c r="B297" s="7" t="s">
        <v>411</v>
      </c>
      <c r="C297" s="7" t="s">
        <v>41</v>
      </c>
      <c r="D297" s="7">
        <v>8000</v>
      </c>
      <c r="E297" s="7" t="s">
        <v>31</v>
      </c>
      <c r="F297" s="7" t="s">
        <v>27</v>
      </c>
      <c r="G297" s="7"/>
      <c r="H297" s="7" t="str">
        <f t="shared" si="1"/>
        <v>abril 2026</v>
      </c>
    </row>
    <row r="298" spans="1:8" ht="22.5" customHeight="1" x14ac:dyDescent="0.25">
      <c r="A298" s="8">
        <v>46129</v>
      </c>
      <c r="B298" s="7" t="s">
        <v>412</v>
      </c>
      <c r="C298" s="7" t="s">
        <v>354</v>
      </c>
      <c r="D298" s="7">
        <v>19200</v>
      </c>
      <c r="E298" s="7" t="s">
        <v>413</v>
      </c>
      <c r="F298" s="7" t="s">
        <v>27</v>
      </c>
      <c r="G298" s="7" t="s">
        <v>413</v>
      </c>
      <c r="H298" s="7" t="str">
        <f t="shared" si="1"/>
        <v>abril 2026</v>
      </c>
    </row>
    <row r="299" spans="1:8" ht="22.5" customHeight="1" x14ac:dyDescent="0.25">
      <c r="A299" s="8">
        <v>46129</v>
      </c>
      <c r="B299" s="7" t="s">
        <v>414</v>
      </c>
      <c r="C299" s="7" t="s">
        <v>354</v>
      </c>
      <c r="D299" s="7">
        <v>80000</v>
      </c>
      <c r="E299" s="7" t="s">
        <v>413</v>
      </c>
      <c r="F299" s="7" t="s">
        <v>27</v>
      </c>
      <c r="G299" s="7" t="s">
        <v>413</v>
      </c>
      <c r="H299" s="7" t="str">
        <f t="shared" si="1"/>
        <v>abril 2026</v>
      </c>
    </row>
    <row r="300" spans="1:8" ht="22.5" customHeight="1" x14ac:dyDescent="0.25">
      <c r="A300" s="8">
        <v>46130</v>
      </c>
      <c r="B300" s="7" t="s">
        <v>415</v>
      </c>
      <c r="C300" s="7" t="s">
        <v>354</v>
      </c>
      <c r="D300" s="7">
        <v>72000</v>
      </c>
      <c r="E300" s="7" t="s">
        <v>413</v>
      </c>
      <c r="F300" s="7" t="s">
        <v>27</v>
      </c>
      <c r="G300" s="7" t="s">
        <v>413</v>
      </c>
      <c r="H300" s="7" t="str">
        <f t="shared" si="1"/>
        <v>abril 2026</v>
      </c>
    </row>
    <row r="301" spans="1:8" ht="22.5" customHeight="1" x14ac:dyDescent="0.25">
      <c r="A301" s="8">
        <v>46130</v>
      </c>
      <c r="B301" s="7" t="s">
        <v>416</v>
      </c>
      <c r="C301" s="7" t="s">
        <v>20</v>
      </c>
      <c r="D301" s="7">
        <v>10000</v>
      </c>
      <c r="E301" s="7" t="s">
        <v>417</v>
      </c>
      <c r="F301" s="7"/>
      <c r="G301" s="7" t="s">
        <v>418</v>
      </c>
      <c r="H301" s="7" t="str">
        <f t="shared" si="1"/>
        <v>abril 2026</v>
      </c>
    </row>
    <row r="302" spans="1:8" ht="22.5" customHeight="1" x14ac:dyDescent="0.25">
      <c r="A302" s="8">
        <v>46130</v>
      </c>
      <c r="B302" s="7" t="s">
        <v>419</v>
      </c>
      <c r="C302" s="7" t="s">
        <v>41</v>
      </c>
      <c r="D302" s="7">
        <v>10000</v>
      </c>
      <c r="E302" s="7" t="s">
        <v>417</v>
      </c>
      <c r="F302" s="7" t="s">
        <v>27</v>
      </c>
      <c r="G302" s="7"/>
      <c r="H302" s="7" t="str">
        <f t="shared" si="1"/>
        <v>abril 2026</v>
      </c>
    </row>
    <row r="303" spans="1:8" ht="22.5" customHeight="1" x14ac:dyDescent="0.25">
      <c r="A303" s="8">
        <v>46130</v>
      </c>
      <c r="B303" s="7" t="s">
        <v>420</v>
      </c>
      <c r="C303" s="7" t="s">
        <v>41</v>
      </c>
      <c r="D303" s="7">
        <v>5200</v>
      </c>
      <c r="E303" s="7" t="s">
        <v>31</v>
      </c>
      <c r="F303" s="7" t="s">
        <v>27</v>
      </c>
      <c r="G303" s="7"/>
      <c r="H303" s="7" t="str">
        <f t="shared" si="1"/>
        <v>abril 2026</v>
      </c>
    </row>
    <row r="304" spans="1:8" ht="22.5" customHeight="1" x14ac:dyDescent="0.25">
      <c r="A304" s="8">
        <v>46130</v>
      </c>
      <c r="B304" s="7" t="s">
        <v>143</v>
      </c>
      <c r="C304" s="7" t="s">
        <v>354</v>
      </c>
      <c r="D304" s="7">
        <v>50000</v>
      </c>
      <c r="E304" s="7" t="s">
        <v>394</v>
      </c>
      <c r="F304" s="7" t="s">
        <v>72</v>
      </c>
      <c r="G304" s="7" t="s">
        <v>418</v>
      </c>
      <c r="H304" s="7" t="str">
        <f t="shared" si="1"/>
        <v>abril 2026</v>
      </c>
    </row>
    <row r="305" spans="1:9" ht="22.5" customHeight="1" x14ac:dyDescent="0.25">
      <c r="A305" s="8">
        <v>46132</v>
      </c>
      <c r="B305" s="7" t="s">
        <v>421</v>
      </c>
      <c r="C305" s="7" t="s">
        <v>41</v>
      </c>
      <c r="D305" s="7">
        <v>7100</v>
      </c>
      <c r="E305" s="7" t="s">
        <v>31</v>
      </c>
      <c r="F305" s="7" t="s">
        <v>27</v>
      </c>
      <c r="G305" s="7"/>
      <c r="H305" s="7" t="str">
        <f t="shared" si="1"/>
        <v>abril 2026</v>
      </c>
    </row>
    <row r="306" spans="1:9" ht="22.5" customHeight="1" x14ac:dyDescent="0.25">
      <c r="A306" s="8">
        <v>46132</v>
      </c>
      <c r="B306" s="7" t="s">
        <v>422</v>
      </c>
      <c r="C306" s="7" t="s">
        <v>354</v>
      </c>
      <c r="D306" s="7">
        <v>20000</v>
      </c>
      <c r="E306" s="7" t="s">
        <v>417</v>
      </c>
      <c r="F306" s="7" t="s">
        <v>418</v>
      </c>
      <c r="G306" s="7" t="s">
        <v>27</v>
      </c>
      <c r="H306" s="7" t="str">
        <f t="shared" si="1"/>
        <v>abril 2026</v>
      </c>
      <c r="I306" s="7" t="str">
        <f ca="1">IFERROR(__xludf.DUMMYFUNCTION("AI("""")"),"")</f>
        <v/>
      </c>
    </row>
    <row r="307" spans="1:9" ht="22.5" customHeight="1" x14ac:dyDescent="0.25">
      <c r="A307" s="8">
        <v>46138</v>
      </c>
      <c r="B307" s="7" t="s">
        <v>423</v>
      </c>
      <c r="C307" s="7" t="s">
        <v>41</v>
      </c>
      <c r="D307" s="7">
        <v>15000</v>
      </c>
      <c r="E307" s="7" t="s">
        <v>31</v>
      </c>
      <c r="F307" s="7" t="s">
        <v>27</v>
      </c>
      <c r="G307" s="7"/>
      <c r="H307" s="7" t="str">
        <f t="shared" si="1"/>
        <v>abril 2026</v>
      </c>
    </row>
    <row r="308" spans="1:9" ht="22.5" customHeight="1" x14ac:dyDescent="0.25">
      <c r="A308" s="8">
        <v>46139</v>
      </c>
      <c r="B308" s="7" t="s">
        <v>424</v>
      </c>
      <c r="C308" s="7" t="s">
        <v>41</v>
      </c>
      <c r="D308" s="7">
        <v>5000</v>
      </c>
      <c r="E308" s="7" t="s">
        <v>31</v>
      </c>
      <c r="F308" s="7" t="s">
        <v>27</v>
      </c>
      <c r="G308" s="7"/>
      <c r="H308" s="7" t="str">
        <f t="shared" si="1"/>
        <v>abril 2026</v>
      </c>
    </row>
    <row r="309" spans="1:9" ht="22.5" customHeight="1" x14ac:dyDescent="0.25">
      <c r="A309" s="8">
        <v>46140</v>
      </c>
      <c r="B309" s="7" t="s">
        <v>425</v>
      </c>
      <c r="C309" s="7" t="s">
        <v>41</v>
      </c>
      <c r="D309" s="7">
        <v>4700</v>
      </c>
      <c r="E309" s="7" t="s">
        <v>31</v>
      </c>
      <c r="F309" s="7" t="s">
        <v>27</v>
      </c>
      <c r="G309" s="7"/>
      <c r="H309" s="7" t="str">
        <f t="shared" si="1"/>
        <v>abril 2026</v>
      </c>
    </row>
    <row r="310" spans="1:9" ht="22.5" customHeight="1" x14ac:dyDescent="0.25">
      <c r="A310" s="8">
        <v>46141</v>
      </c>
      <c r="B310" s="7" t="s">
        <v>426</v>
      </c>
      <c r="C310" s="7" t="s">
        <v>354</v>
      </c>
      <c r="D310" s="7">
        <v>250000</v>
      </c>
      <c r="E310" s="7" t="s">
        <v>394</v>
      </c>
      <c r="F310" s="7" t="s">
        <v>427</v>
      </c>
      <c r="G310" s="7" t="s">
        <v>27</v>
      </c>
      <c r="H310" s="7" t="str">
        <f t="shared" si="1"/>
        <v>abril 2026</v>
      </c>
    </row>
    <row r="311" spans="1:9" ht="22.5" customHeight="1" x14ac:dyDescent="0.25">
      <c r="A311" s="8">
        <v>46141</v>
      </c>
      <c r="B311" s="7" t="s">
        <v>428</v>
      </c>
      <c r="C311" s="7" t="s">
        <v>20</v>
      </c>
      <c r="D311" s="7">
        <v>1000000</v>
      </c>
      <c r="E311" s="7" t="s">
        <v>50</v>
      </c>
      <c r="F311" s="7"/>
      <c r="G311" s="7" t="s">
        <v>27</v>
      </c>
      <c r="H311" s="7" t="str">
        <f t="shared" si="1"/>
        <v>abril 2026</v>
      </c>
    </row>
    <row r="312" spans="1:9" ht="22.5" customHeight="1" x14ac:dyDescent="0.25">
      <c r="A312" s="8">
        <v>46141</v>
      </c>
      <c r="B312" s="7" t="s">
        <v>429</v>
      </c>
      <c r="C312" s="7" t="s">
        <v>20</v>
      </c>
      <c r="D312" s="7">
        <v>500000</v>
      </c>
      <c r="E312" s="7" t="s">
        <v>50</v>
      </c>
      <c r="F312" s="7"/>
      <c r="G312" s="7" t="s">
        <v>27</v>
      </c>
      <c r="H312" s="7" t="str">
        <f t="shared" si="1"/>
        <v>abril 2026</v>
      </c>
    </row>
    <row r="313" spans="1:9" ht="22.5" customHeight="1" x14ac:dyDescent="0.25">
      <c r="A313" s="8">
        <v>46141</v>
      </c>
      <c r="B313" s="7" t="s">
        <v>430</v>
      </c>
      <c r="C313" s="7" t="s">
        <v>354</v>
      </c>
      <c r="D313" s="7">
        <v>1000000</v>
      </c>
      <c r="E313" s="7" t="s">
        <v>394</v>
      </c>
      <c r="F313" s="7" t="s">
        <v>27</v>
      </c>
      <c r="G313" s="7" t="s">
        <v>427</v>
      </c>
      <c r="H313" s="7" t="str">
        <f t="shared" si="1"/>
        <v>abril 2026</v>
      </c>
    </row>
    <row r="314" spans="1:9" ht="22.5" customHeight="1" x14ac:dyDescent="0.25">
      <c r="A314" s="8">
        <v>46141</v>
      </c>
      <c r="B314" s="7" t="s">
        <v>431</v>
      </c>
      <c r="C314" s="7" t="s">
        <v>41</v>
      </c>
      <c r="D314" s="7">
        <v>23000</v>
      </c>
      <c r="E314" s="7" t="s">
        <v>187</v>
      </c>
      <c r="F314" s="7" t="s">
        <v>27</v>
      </c>
      <c r="G314" s="7"/>
      <c r="H314" s="7" t="str">
        <f t="shared" si="1"/>
        <v>abril 2026</v>
      </c>
    </row>
    <row r="315" spans="1:9" ht="22.5" customHeight="1" x14ac:dyDescent="0.25">
      <c r="A315" s="8">
        <v>46141</v>
      </c>
      <c r="B315" s="7" t="s">
        <v>432</v>
      </c>
      <c r="C315" s="7" t="s">
        <v>41</v>
      </c>
      <c r="D315" s="7">
        <v>1800</v>
      </c>
      <c r="E315" s="7" t="s">
        <v>31</v>
      </c>
      <c r="F315" s="7" t="s">
        <v>27</v>
      </c>
      <c r="G315" s="7"/>
      <c r="H315" s="7" t="str">
        <f t="shared" si="1"/>
        <v>abril 2026</v>
      </c>
    </row>
    <row r="316" spans="1:9" ht="22.5" customHeight="1" x14ac:dyDescent="0.25">
      <c r="A316" s="8">
        <v>46142</v>
      </c>
      <c r="B316" s="7" t="s">
        <v>433</v>
      </c>
      <c r="C316" s="7" t="s">
        <v>41</v>
      </c>
      <c r="D316" s="7">
        <v>85000</v>
      </c>
      <c r="E316" s="7" t="s">
        <v>76</v>
      </c>
      <c r="F316" s="7" t="s">
        <v>27</v>
      </c>
      <c r="G316" s="7"/>
      <c r="H316" s="7" t="str">
        <f t="shared" si="1"/>
        <v>abril 2026</v>
      </c>
    </row>
    <row r="317" spans="1:9" ht="22.5" customHeight="1" x14ac:dyDescent="0.25">
      <c r="A317" s="8">
        <v>46142</v>
      </c>
      <c r="B317" s="7" t="s">
        <v>434</v>
      </c>
      <c r="C317" s="7" t="s">
        <v>354</v>
      </c>
      <c r="D317" s="7">
        <v>500000</v>
      </c>
      <c r="E317" s="7" t="s">
        <v>394</v>
      </c>
      <c r="F317" s="7" t="s">
        <v>427</v>
      </c>
      <c r="G317" s="7" t="s">
        <v>27</v>
      </c>
      <c r="H317" s="7" t="str">
        <f t="shared" si="1"/>
        <v>abril 2026</v>
      </c>
    </row>
    <row r="318" spans="1:9" ht="22.5" customHeight="1" x14ac:dyDescent="0.25">
      <c r="A318" s="8">
        <v>46142</v>
      </c>
      <c r="B318" s="7" t="s">
        <v>435</v>
      </c>
      <c r="C318" s="7" t="s">
        <v>20</v>
      </c>
      <c r="D318" s="7">
        <v>40000</v>
      </c>
      <c r="E318" s="7" t="s">
        <v>72</v>
      </c>
      <c r="F318" s="7"/>
      <c r="G318" s="7" t="s">
        <v>27</v>
      </c>
      <c r="H318" s="7" t="str">
        <f t="shared" si="1"/>
        <v>abril 2026</v>
      </c>
    </row>
    <row r="319" spans="1:9" ht="22.5" customHeight="1" x14ac:dyDescent="0.25">
      <c r="A319" s="8">
        <v>46143</v>
      </c>
      <c r="B319" s="7" t="s">
        <v>436</v>
      </c>
      <c r="C319" s="7" t="s">
        <v>41</v>
      </c>
      <c r="D319" s="7">
        <v>62000</v>
      </c>
      <c r="E319" s="7" t="s">
        <v>31</v>
      </c>
      <c r="F319" s="7" t="s">
        <v>27</v>
      </c>
      <c r="G319" s="7"/>
      <c r="H319" s="7" t="str">
        <f t="shared" si="1"/>
        <v>mayo 2026</v>
      </c>
    </row>
    <row r="320" spans="1:9" ht="22.5" customHeight="1" x14ac:dyDescent="0.25">
      <c r="A320" s="8">
        <v>46143</v>
      </c>
      <c r="B320" s="7" t="s">
        <v>437</v>
      </c>
      <c r="C320" s="7" t="s">
        <v>41</v>
      </c>
      <c r="D320" s="7">
        <v>10000</v>
      </c>
      <c r="E320" s="7" t="s">
        <v>31</v>
      </c>
      <c r="F320" s="7" t="s">
        <v>27</v>
      </c>
      <c r="G320" s="7"/>
      <c r="H320" s="7" t="str">
        <f t="shared" si="1"/>
        <v>mayo 2026</v>
      </c>
    </row>
    <row r="321" spans="1:8" ht="22.5" customHeight="1" x14ac:dyDescent="0.25">
      <c r="A321" s="8">
        <v>46143</v>
      </c>
      <c r="B321" s="7" t="s">
        <v>438</v>
      </c>
      <c r="C321" s="7" t="s">
        <v>41</v>
      </c>
      <c r="D321" s="7">
        <v>531100</v>
      </c>
      <c r="E321" s="7" t="s">
        <v>84</v>
      </c>
      <c r="F321" s="7" t="s">
        <v>27</v>
      </c>
      <c r="G321" s="7"/>
      <c r="H321" s="7" t="str">
        <f t="shared" si="1"/>
        <v>mayo 2026</v>
      </c>
    </row>
    <row r="322" spans="1:8" ht="22.5" customHeight="1" x14ac:dyDescent="0.25">
      <c r="A322" s="8">
        <v>46144</v>
      </c>
      <c r="B322" s="7" t="s">
        <v>439</v>
      </c>
      <c r="C322" s="7" t="s">
        <v>41</v>
      </c>
      <c r="D322" s="7">
        <v>15000</v>
      </c>
      <c r="E322" s="7" t="s">
        <v>31</v>
      </c>
      <c r="F322" s="7" t="s">
        <v>27</v>
      </c>
      <c r="G322" s="7"/>
      <c r="H322" s="7" t="str">
        <f t="shared" si="1"/>
        <v>mayo 2026</v>
      </c>
    </row>
    <row r="323" spans="1:8" ht="22.5" customHeight="1" x14ac:dyDescent="0.25">
      <c r="A323" s="8">
        <v>46145</v>
      </c>
      <c r="B323" s="7" t="s">
        <v>440</v>
      </c>
      <c r="C323" s="7" t="s">
        <v>41</v>
      </c>
      <c r="D323" s="7">
        <v>14000</v>
      </c>
      <c r="E323" s="7" t="s">
        <v>31</v>
      </c>
      <c r="F323" s="7" t="s">
        <v>27</v>
      </c>
      <c r="G323" s="7"/>
      <c r="H323" s="7" t="str">
        <f t="shared" si="1"/>
        <v>mayo 2026</v>
      </c>
    </row>
    <row r="324" spans="1:8" ht="22.5" customHeight="1" x14ac:dyDescent="0.25">
      <c r="A324" s="8">
        <v>46146</v>
      </c>
      <c r="B324" s="7" t="s">
        <v>166</v>
      </c>
      <c r="C324" s="7" t="s">
        <v>41</v>
      </c>
      <c r="D324" s="7">
        <v>13588</v>
      </c>
      <c r="E324" s="7" t="s">
        <v>58</v>
      </c>
      <c r="F324" s="7" t="s">
        <v>27</v>
      </c>
      <c r="G324" s="7"/>
      <c r="H324" s="7" t="str">
        <f t="shared" si="1"/>
        <v>mayo 2026</v>
      </c>
    </row>
    <row r="325" spans="1:8" ht="22.5" customHeight="1" x14ac:dyDescent="0.25">
      <c r="A325" s="8">
        <v>46146</v>
      </c>
      <c r="B325" s="7" t="s">
        <v>441</v>
      </c>
      <c r="C325" s="7" t="s">
        <v>354</v>
      </c>
      <c r="D325" s="7">
        <v>100000</v>
      </c>
      <c r="E325" s="7" t="s">
        <v>394</v>
      </c>
      <c r="F325" s="7" t="s">
        <v>72</v>
      </c>
      <c r="G325" s="7" t="s">
        <v>418</v>
      </c>
      <c r="H325" s="7" t="str">
        <f t="shared" si="1"/>
        <v>mayo 2026</v>
      </c>
    </row>
    <row r="326" spans="1:8" ht="22.5" customHeight="1" x14ac:dyDescent="0.25">
      <c r="A326" s="8">
        <v>46146</v>
      </c>
      <c r="B326" s="7" t="s">
        <v>442</v>
      </c>
      <c r="C326" s="7" t="s">
        <v>354</v>
      </c>
      <c r="D326" s="7">
        <v>60000</v>
      </c>
      <c r="E326" s="7" t="s">
        <v>394</v>
      </c>
      <c r="F326" s="7" t="s">
        <v>27</v>
      </c>
      <c r="G326" s="7" t="s">
        <v>418</v>
      </c>
      <c r="H326" s="7" t="str">
        <f t="shared" si="1"/>
        <v>mayo 2026</v>
      </c>
    </row>
    <row r="327" spans="1:8" ht="22.5" customHeight="1" x14ac:dyDescent="0.25">
      <c r="A327" s="8">
        <v>46146</v>
      </c>
      <c r="B327" s="7" t="s">
        <v>443</v>
      </c>
      <c r="C327" s="7" t="s">
        <v>41</v>
      </c>
      <c r="D327" s="7">
        <v>150000</v>
      </c>
      <c r="E327" s="7" t="s">
        <v>31</v>
      </c>
      <c r="F327" s="7" t="s">
        <v>418</v>
      </c>
      <c r="G327" s="7"/>
      <c r="H327" s="7" t="str">
        <f t="shared" si="1"/>
        <v>mayo 2026</v>
      </c>
    </row>
    <row r="328" spans="1:8" ht="22.5" customHeight="1" x14ac:dyDescent="0.25">
      <c r="A328" s="8">
        <v>46146</v>
      </c>
      <c r="B328" s="7" t="s">
        <v>444</v>
      </c>
      <c r="C328" s="7" t="s">
        <v>41</v>
      </c>
      <c r="D328" s="7">
        <v>38462</v>
      </c>
      <c r="E328" s="7" t="s">
        <v>58</v>
      </c>
      <c r="F328" s="7" t="s">
        <v>27</v>
      </c>
      <c r="G328" s="7"/>
      <c r="H328" s="7" t="str">
        <f t="shared" si="1"/>
        <v>mayo 2026</v>
      </c>
    </row>
    <row r="329" spans="1:8" ht="22.5" customHeight="1" x14ac:dyDescent="0.25">
      <c r="A329" s="8">
        <v>46146</v>
      </c>
      <c r="B329" s="7" t="s">
        <v>445</v>
      </c>
      <c r="C329" s="7" t="s">
        <v>41</v>
      </c>
      <c r="D329" s="7">
        <v>23000</v>
      </c>
      <c r="E329" s="7" t="s">
        <v>58</v>
      </c>
      <c r="F329" s="7" t="s">
        <v>27</v>
      </c>
      <c r="G329" s="7"/>
      <c r="H329" s="7" t="str">
        <f t="shared" si="1"/>
        <v>mayo 2026</v>
      </c>
    </row>
    <row r="330" spans="1:8" ht="22.5" customHeight="1" x14ac:dyDescent="0.25">
      <c r="A330" s="8">
        <v>46146</v>
      </c>
      <c r="B330" s="7" t="s">
        <v>446</v>
      </c>
      <c r="C330" s="7" t="s">
        <v>41</v>
      </c>
      <c r="D330" s="7">
        <v>25000</v>
      </c>
      <c r="E330" s="7" t="s">
        <v>31</v>
      </c>
      <c r="F330" s="7" t="s">
        <v>27</v>
      </c>
      <c r="G330" s="7"/>
      <c r="H330" s="7" t="str">
        <f t="shared" si="1"/>
        <v>mayo 2026</v>
      </c>
    </row>
    <row r="331" spans="1:8" ht="22.5" customHeight="1" x14ac:dyDescent="0.25">
      <c r="A331" s="8">
        <v>46150</v>
      </c>
      <c r="B331" s="7" t="s">
        <v>447</v>
      </c>
      <c r="C331" s="7" t="s">
        <v>20</v>
      </c>
      <c r="D331" s="7">
        <v>2409000</v>
      </c>
      <c r="E331" s="7" t="s">
        <v>0</v>
      </c>
      <c r="F331" s="7"/>
      <c r="G331" s="7" t="s">
        <v>27</v>
      </c>
      <c r="H331" s="7" t="str">
        <f t="shared" si="1"/>
        <v>mayo 2026</v>
      </c>
    </row>
    <row r="332" spans="1:8" ht="22.5" customHeight="1" x14ac:dyDescent="0.25">
      <c r="A332" s="8">
        <v>46150</v>
      </c>
      <c r="B332" s="7" t="s">
        <v>448</v>
      </c>
      <c r="C332" s="7" t="s">
        <v>41</v>
      </c>
      <c r="D332" s="7">
        <v>36000</v>
      </c>
      <c r="E332" s="7" t="s">
        <v>31</v>
      </c>
      <c r="F332" s="7" t="s">
        <v>27</v>
      </c>
      <c r="G332" s="7"/>
      <c r="H332" s="7" t="str">
        <f t="shared" si="1"/>
        <v>mayo 2026</v>
      </c>
    </row>
    <row r="333" spans="1:8" ht="22.5" customHeight="1" x14ac:dyDescent="0.25">
      <c r="A333" s="8">
        <v>46150</v>
      </c>
      <c r="B333" s="7" t="s">
        <v>449</v>
      </c>
      <c r="C333" s="7" t="s">
        <v>354</v>
      </c>
      <c r="D333" s="7">
        <v>20000</v>
      </c>
      <c r="E333" s="7" t="s">
        <v>394</v>
      </c>
      <c r="F333" s="7" t="s">
        <v>418</v>
      </c>
      <c r="G333" s="7" t="s">
        <v>27</v>
      </c>
      <c r="H333" s="7" t="str">
        <f t="shared" si="1"/>
        <v>mayo 2026</v>
      </c>
    </row>
    <row r="334" spans="1:8" ht="22.5" customHeight="1" x14ac:dyDescent="0.25">
      <c r="A334" s="8">
        <v>46150</v>
      </c>
      <c r="B334" s="7" t="s">
        <v>450</v>
      </c>
      <c r="C334" s="7" t="s">
        <v>354</v>
      </c>
      <c r="D334" s="7">
        <v>1144000</v>
      </c>
      <c r="E334" s="7" t="s">
        <v>391</v>
      </c>
      <c r="F334" s="7" t="s">
        <v>27</v>
      </c>
      <c r="G334" s="7" t="s">
        <v>355</v>
      </c>
      <c r="H334" s="7" t="str">
        <f t="shared" si="1"/>
        <v>mayo 2026</v>
      </c>
    </row>
    <row r="335" spans="1:8" ht="22.5" customHeight="1" x14ac:dyDescent="0.25">
      <c r="A335" s="8">
        <v>46151</v>
      </c>
      <c r="B335" s="7" t="s">
        <v>255</v>
      </c>
      <c r="C335" s="7" t="s">
        <v>354</v>
      </c>
      <c r="D335" s="7">
        <v>200000</v>
      </c>
      <c r="E335" s="7" t="s">
        <v>394</v>
      </c>
      <c r="F335" s="7" t="s">
        <v>27</v>
      </c>
      <c r="G335" s="7" t="s">
        <v>72</v>
      </c>
      <c r="H335" s="7" t="str">
        <f t="shared" si="1"/>
        <v>mayo 2026</v>
      </c>
    </row>
    <row r="336" spans="1:8" ht="22.5" customHeight="1" x14ac:dyDescent="0.25">
      <c r="A336" s="8">
        <v>46151</v>
      </c>
      <c r="B336" s="7" t="s">
        <v>451</v>
      </c>
      <c r="C336" s="7" t="s">
        <v>354</v>
      </c>
      <c r="D336" s="7">
        <v>50000</v>
      </c>
      <c r="E336" s="7" t="s">
        <v>394</v>
      </c>
      <c r="F336" s="7" t="s">
        <v>72</v>
      </c>
      <c r="G336" s="7" t="s">
        <v>418</v>
      </c>
      <c r="H336" s="7" t="str">
        <f t="shared" si="1"/>
        <v>mayo 2026</v>
      </c>
    </row>
    <row r="337" spans="1:8" ht="22.5" customHeight="1" x14ac:dyDescent="0.25">
      <c r="A337" s="8">
        <v>46151</v>
      </c>
      <c r="B337" s="7" t="s">
        <v>452</v>
      </c>
      <c r="C337" s="7" t="s">
        <v>41</v>
      </c>
      <c r="D337" s="7">
        <v>525000</v>
      </c>
      <c r="E337" s="7" t="s">
        <v>50</v>
      </c>
      <c r="F337" s="7" t="s">
        <v>27</v>
      </c>
      <c r="G337" s="7"/>
      <c r="H337" s="7" t="str">
        <f t="shared" si="1"/>
        <v>mayo 2026</v>
      </c>
    </row>
    <row r="338" spans="1:8" ht="22.5" customHeight="1" x14ac:dyDescent="0.25">
      <c r="A338" s="8">
        <v>46151</v>
      </c>
      <c r="B338" s="7" t="s">
        <v>453</v>
      </c>
      <c r="C338" s="7" t="s">
        <v>20</v>
      </c>
      <c r="D338" s="7">
        <v>500000</v>
      </c>
      <c r="E338" s="7" t="s">
        <v>50</v>
      </c>
      <c r="F338" s="7"/>
      <c r="G338" s="7" t="s">
        <v>27</v>
      </c>
      <c r="H338" s="7" t="str">
        <f t="shared" si="1"/>
        <v>mayo 2026</v>
      </c>
    </row>
    <row r="339" spans="1:8" ht="22.5" customHeight="1" x14ac:dyDescent="0.25">
      <c r="A339" s="8">
        <v>46151</v>
      </c>
      <c r="B339" s="7" t="s">
        <v>454</v>
      </c>
      <c r="C339" s="7" t="s">
        <v>354</v>
      </c>
      <c r="D339" s="7">
        <v>14000</v>
      </c>
      <c r="E339" s="7" t="s">
        <v>391</v>
      </c>
      <c r="F339" s="7" t="s">
        <v>418</v>
      </c>
      <c r="G339" s="7" t="s">
        <v>27</v>
      </c>
      <c r="H339" s="7" t="str">
        <f t="shared" si="1"/>
        <v>mayo 2026</v>
      </c>
    </row>
    <row r="340" spans="1:8" ht="22.5" customHeight="1" x14ac:dyDescent="0.25">
      <c r="A340" s="8">
        <v>46151</v>
      </c>
      <c r="B340" s="7" t="s">
        <v>455</v>
      </c>
      <c r="C340" s="7" t="s">
        <v>20</v>
      </c>
      <c r="D340" s="7">
        <v>55000</v>
      </c>
      <c r="E340" s="7" t="s">
        <v>72</v>
      </c>
      <c r="F340" s="7"/>
      <c r="G340" s="7" t="s">
        <v>27</v>
      </c>
      <c r="H340" s="7" t="str">
        <f t="shared" si="1"/>
        <v>mayo 2026</v>
      </c>
    </row>
    <row r="341" spans="1:8" ht="22.5" customHeight="1" x14ac:dyDescent="0.25">
      <c r="A341" s="8">
        <v>46151</v>
      </c>
      <c r="B341" s="7" t="s">
        <v>456</v>
      </c>
      <c r="C341" s="7" t="s">
        <v>41</v>
      </c>
      <c r="D341" s="7">
        <v>26000</v>
      </c>
      <c r="E341" s="7" t="s">
        <v>31</v>
      </c>
      <c r="F341" s="7" t="s">
        <v>418</v>
      </c>
      <c r="G341" s="7"/>
      <c r="H341" s="7" t="str">
        <f t="shared" si="1"/>
        <v>mayo 2026</v>
      </c>
    </row>
    <row r="342" spans="1:8" ht="22.5" customHeight="1" x14ac:dyDescent="0.25">
      <c r="A342" s="8">
        <v>46152</v>
      </c>
      <c r="B342" s="7" t="s">
        <v>457</v>
      </c>
      <c r="C342" s="7" t="s">
        <v>354</v>
      </c>
      <c r="D342" s="7">
        <v>50000</v>
      </c>
      <c r="E342" s="7" t="s">
        <v>391</v>
      </c>
      <c r="F342" s="7" t="s">
        <v>27</v>
      </c>
      <c r="G342" s="7" t="s">
        <v>72</v>
      </c>
      <c r="H342" s="7" t="str">
        <f t="shared" si="1"/>
        <v>mayo 2026</v>
      </c>
    </row>
    <row r="343" spans="1:8" ht="22.5" customHeight="1" x14ac:dyDescent="0.25">
      <c r="A343" s="8">
        <v>46153</v>
      </c>
      <c r="B343" s="7" t="s">
        <v>458</v>
      </c>
      <c r="C343" s="7" t="s">
        <v>20</v>
      </c>
      <c r="D343" s="7">
        <v>195643</v>
      </c>
      <c r="E343" s="7" t="s">
        <v>120</v>
      </c>
      <c r="F343" s="7"/>
      <c r="G343" s="7" t="s">
        <v>27</v>
      </c>
      <c r="H343" s="7" t="str">
        <f t="shared" si="1"/>
        <v>mayo 2026</v>
      </c>
    </row>
    <row r="344" spans="1:8" ht="22.5" customHeight="1" x14ac:dyDescent="0.25">
      <c r="A344" s="8">
        <v>46153</v>
      </c>
      <c r="B344" s="7" t="s">
        <v>459</v>
      </c>
      <c r="C344" s="7" t="s">
        <v>41</v>
      </c>
      <c r="D344" s="7">
        <v>2400</v>
      </c>
      <c r="E344" s="7" t="s">
        <v>31</v>
      </c>
      <c r="F344" s="7" t="s">
        <v>27</v>
      </c>
      <c r="G344" s="7"/>
      <c r="H344" s="7" t="str">
        <f t="shared" si="1"/>
        <v>mayo 2026</v>
      </c>
    </row>
    <row r="345" spans="1:8" ht="22.5" customHeight="1" x14ac:dyDescent="0.25">
      <c r="A345" s="8">
        <v>46153</v>
      </c>
      <c r="B345" s="7" t="s">
        <v>460</v>
      </c>
      <c r="C345" s="7" t="s">
        <v>41</v>
      </c>
      <c r="D345" s="7">
        <v>28000</v>
      </c>
      <c r="E345" s="7" t="s">
        <v>31</v>
      </c>
      <c r="F345" s="7" t="s">
        <v>27</v>
      </c>
      <c r="G345" s="7"/>
      <c r="H345" s="7" t="str">
        <f t="shared" si="1"/>
        <v>mayo 2026</v>
      </c>
    </row>
    <row r="346" spans="1:8" ht="22.5" customHeight="1" x14ac:dyDescent="0.25">
      <c r="A346" s="8">
        <v>46154</v>
      </c>
      <c r="B346" s="7" t="s">
        <v>461</v>
      </c>
      <c r="C346" s="7" t="s">
        <v>41</v>
      </c>
      <c r="D346" s="7">
        <v>8500</v>
      </c>
      <c r="E346" s="7" t="s">
        <v>31</v>
      </c>
      <c r="F346" s="7" t="s">
        <v>27</v>
      </c>
      <c r="G346" s="7"/>
      <c r="H346" s="7" t="str">
        <f t="shared" si="1"/>
        <v>mayo 2026</v>
      </c>
    </row>
    <row r="347" spans="1:8" ht="22.5" customHeight="1" x14ac:dyDescent="0.25">
      <c r="A347" s="8">
        <v>46155</v>
      </c>
      <c r="B347" s="7" t="s">
        <v>250</v>
      </c>
      <c r="C347" s="7" t="s">
        <v>41</v>
      </c>
      <c r="D347" s="7">
        <v>105000</v>
      </c>
      <c r="E347" s="7" t="s">
        <v>50</v>
      </c>
      <c r="F347" s="7" t="s">
        <v>27</v>
      </c>
      <c r="G347" s="7"/>
      <c r="H347" s="7" t="str">
        <f t="shared" si="1"/>
        <v>mayo 2026</v>
      </c>
    </row>
    <row r="348" spans="1:8" ht="22.5" customHeight="1" x14ac:dyDescent="0.25">
      <c r="A348" s="8">
        <v>46155</v>
      </c>
      <c r="B348" s="7" t="s">
        <v>462</v>
      </c>
      <c r="C348" s="7" t="s">
        <v>41</v>
      </c>
      <c r="D348" s="7">
        <v>65000</v>
      </c>
      <c r="E348" s="7" t="s">
        <v>145</v>
      </c>
      <c r="F348" s="7" t="s">
        <v>27</v>
      </c>
      <c r="G348" s="7"/>
      <c r="H348" s="7" t="str">
        <f t="shared" si="1"/>
        <v>mayo 2026</v>
      </c>
    </row>
    <row r="349" spans="1:8" ht="22.5" customHeight="1" x14ac:dyDescent="0.25">
      <c r="A349" s="8">
        <v>46155</v>
      </c>
      <c r="B349" s="7" t="s">
        <v>463</v>
      </c>
      <c r="C349" s="7" t="s">
        <v>41</v>
      </c>
      <c r="D349" s="7">
        <v>4300</v>
      </c>
      <c r="E349" s="7" t="s">
        <v>31</v>
      </c>
      <c r="F349" s="7" t="s">
        <v>27</v>
      </c>
      <c r="G349" s="7"/>
      <c r="H349" s="7" t="str">
        <f t="shared" si="1"/>
        <v>mayo 2026</v>
      </c>
    </row>
    <row r="350" spans="1:8" ht="22.5" customHeight="1" x14ac:dyDescent="0.25">
      <c r="A350" s="8">
        <v>46156</v>
      </c>
      <c r="B350" s="7" t="s">
        <v>464</v>
      </c>
      <c r="C350" s="7" t="s">
        <v>41</v>
      </c>
      <c r="D350" s="7">
        <v>4600</v>
      </c>
      <c r="E350" s="7" t="s">
        <v>31</v>
      </c>
      <c r="F350" s="7" t="s">
        <v>27</v>
      </c>
      <c r="G350" s="7"/>
      <c r="H350" s="7" t="str">
        <f t="shared" si="1"/>
        <v>mayo 2026</v>
      </c>
    </row>
    <row r="351" spans="1:8" ht="22.5" customHeight="1" x14ac:dyDescent="0.25">
      <c r="A351" s="8">
        <v>46156</v>
      </c>
      <c r="B351" s="7" t="s">
        <v>465</v>
      </c>
      <c r="C351" s="7" t="s">
        <v>41</v>
      </c>
      <c r="D351" s="7">
        <v>17000</v>
      </c>
      <c r="E351" s="7" t="s">
        <v>180</v>
      </c>
      <c r="F351" s="7" t="s">
        <v>27</v>
      </c>
      <c r="G351" s="7"/>
      <c r="H351" s="7" t="str">
        <f t="shared" si="1"/>
        <v>mayo 2026</v>
      </c>
    </row>
    <row r="352" spans="1:8" ht="22.5" customHeight="1" x14ac:dyDescent="0.25">
      <c r="A352" s="8">
        <v>46157</v>
      </c>
      <c r="B352" s="7" t="s">
        <v>466</v>
      </c>
      <c r="C352" s="7" t="s">
        <v>41</v>
      </c>
      <c r="D352" s="7">
        <v>70000</v>
      </c>
      <c r="E352" s="7" t="s">
        <v>76</v>
      </c>
      <c r="F352" s="7" t="s">
        <v>27</v>
      </c>
      <c r="G352" s="7"/>
      <c r="H352" s="7" t="str">
        <f t="shared" si="1"/>
        <v>mayo 2026</v>
      </c>
    </row>
    <row r="353" spans="1:8" ht="22.5" customHeight="1" x14ac:dyDescent="0.25">
      <c r="A353" s="8">
        <v>46157</v>
      </c>
      <c r="B353" s="7" t="s">
        <v>467</v>
      </c>
      <c r="C353" s="7" t="s">
        <v>41</v>
      </c>
      <c r="D353" s="7">
        <v>15000</v>
      </c>
      <c r="E353" s="7" t="s">
        <v>31</v>
      </c>
      <c r="F353" s="7" t="s">
        <v>27</v>
      </c>
      <c r="G353" s="7"/>
      <c r="H353" s="7" t="str">
        <f t="shared" si="1"/>
        <v>mayo 2026</v>
      </c>
    </row>
    <row r="354" spans="1:8" ht="22.5" customHeight="1" x14ac:dyDescent="0.25">
      <c r="A354" s="8">
        <v>46158</v>
      </c>
      <c r="B354" s="7" t="s">
        <v>468</v>
      </c>
      <c r="C354" s="7" t="s">
        <v>354</v>
      </c>
      <c r="D354" s="7">
        <v>250000</v>
      </c>
      <c r="E354" s="7" t="s">
        <v>391</v>
      </c>
      <c r="F354" s="7" t="s">
        <v>427</v>
      </c>
      <c r="G354" s="7" t="s">
        <v>27</v>
      </c>
      <c r="H354" s="7" t="str">
        <f t="shared" si="1"/>
        <v>mayo 2026</v>
      </c>
    </row>
    <row r="355" spans="1:8" ht="22.5" customHeight="1" x14ac:dyDescent="0.25">
      <c r="A355" s="8">
        <v>46158</v>
      </c>
      <c r="B355" s="7" t="s">
        <v>469</v>
      </c>
      <c r="C355" s="7" t="s">
        <v>20</v>
      </c>
      <c r="D355" s="7">
        <v>500000</v>
      </c>
      <c r="E355" s="7" t="s">
        <v>50</v>
      </c>
      <c r="F355" s="7"/>
      <c r="G355" s="7" t="s">
        <v>418</v>
      </c>
      <c r="H355" s="7" t="str">
        <f t="shared" si="1"/>
        <v>mayo 2026</v>
      </c>
    </row>
    <row r="356" spans="1:8" ht="22.5" customHeight="1" x14ac:dyDescent="0.25">
      <c r="A356" s="8">
        <v>46158</v>
      </c>
      <c r="B356" s="7" t="s">
        <v>470</v>
      </c>
      <c r="C356" s="7" t="s">
        <v>354</v>
      </c>
      <c r="D356" s="7">
        <v>50000</v>
      </c>
      <c r="E356" s="7" t="s">
        <v>394</v>
      </c>
      <c r="F356" s="7" t="s">
        <v>72</v>
      </c>
      <c r="G356" s="7" t="s">
        <v>27</v>
      </c>
      <c r="H356" s="7" t="str">
        <f t="shared" si="1"/>
        <v>mayo 2026</v>
      </c>
    </row>
    <row r="357" spans="1:8" ht="22.5" customHeight="1" x14ac:dyDescent="0.25">
      <c r="A357" s="8">
        <v>46158</v>
      </c>
      <c r="B357" s="7" t="s">
        <v>405</v>
      </c>
      <c r="C357" s="7" t="s">
        <v>41</v>
      </c>
      <c r="D357" s="7">
        <v>2000</v>
      </c>
      <c r="E357" s="7" t="s">
        <v>22</v>
      </c>
      <c r="F357" s="7" t="s">
        <v>27</v>
      </c>
      <c r="G357" s="7"/>
      <c r="H357" s="7" t="str">
        <f t="shared" si="1"/>
        <v>mayo 2026</v>
      </c>
    </row>
    <row r="358" spans="1:8" ht="22.5" customHeight="1" x14ac:dyDescent="0.25">
      <c r="A358" s="8">
        <v>46158</v>
      </c>
      <c r="B358" s="7" t="s">
        <v>471</v>
      </c>
      <c r="C358" s="7" t="s">
        <v>41</v>
      </c>
      <c r="D358" s="7">
        <v>100000</v>
      </c>
      <c r="E358" s="7" t="s">
        <v>31</v>
      </c>
      <c r="F358" s="7" t="s">
        <v>418</v>
      </c>
      <c r="G358" s="7"/>
      <c r="H358" s="7" t="str">
        <f t="shared" si="1"/>
        <v>mayo 2026</v>
      </c>
    </row>
    <row r="359" spans="1:8" ht="22.5" customHeight="1" x14ac:dyDescent="0.25">
      <c r="A359" s="8">
        <v>46163</v>
      </c>
      <c r="B359" s="7" t="s">
        <v>472</v>
      </c>
      <c r="C359" s="7" t="s">
        <v>41</v>
      </c>
      <c r="D359" s="7">
        <v>20000</v>
      </c>
      <c r="E359" s="7" t="s">
        <v>31</v>
      </c>
      <c r="F359" s="7" t="s">
        <v>418</v>
      </c>
      <c r="G359" s="7"/>
      <c r="H359" s="7" t="str">
        <f t="shared" si="1"/>
        <v>mayo 2026</v>
      </c>
    </row>
    <row r="360" spans="1:8" ht="22.5" customHeight="1" x14ac:dyDescent="0.25">
      <c r="A360" s="8">
        <v>46163</v>
      </c>
      <c r="B360" s="7" t="s">
        <v>473</v>
      </c>
      <c r="C360" s="7" t="s">
        <v>41</v>
      </c>
      <c r="D360" s="7">
        <v>9300</v>
      </c>
      <c r="E360" s="7" t="s">
        <v>31</v>
      </c>
      <c r="F360" s="7" t="s">
        <v>27</v>
      </c>
      <c r="G360" s="7"/>
      <c r="H360" s="7" t="str">
        <f t="shared" si="1"/>
        <v>mayo 2026</v>
      </c>
    </row>
    <row r="361" spans="1:8" ht="22.5" customHeight="1" x14ac:dyDescent="0.25">
      <c r="A361" s="8">
        <v>46164</v>
      </c>
      <c r="B361" s="7" t="s">
        <v>76</v>
      </c>
      <c r="C361" s="7" t="s">
        <v>41</v>
      </c>
      <c r="D361" s="7">
        <v>63000</v>
      </c>
      <c r="E361" s="7" t="s">
        <v>31</v>
      </c>
      <c r="F361" s="7" t="s">
        <v>27</v>
      </c>
      <c r="G361" s="7"/>
      <c r="H361" s="7" t="str">
        <f t="shared" si="1"/>
        <v>mayo 2026</v>
      </c>
    </row>
    <row r="362" spans="1:8" ht="22.5" customHeight="1" x14ac:dyDescent="0.25">
      <c r="A362" s="8">
        <v>46164</v>
      </c>
      <c r="B362" s="7" t="s">
        <v>474</v>
      </c>
      <c r="C362" s="7" t="s">
        <v>20</v>
      </c>
      <c r="D362" s="7">
        <v>1200000</v>
      </c>
      <c r="E362" s="7" t="s">
        <v>50</v>
      </c>
      <c r="F362" s="7"/>
      <c r="G362" s="7" t="s">
        <v>27</v>
      </c>
      <c r="H362" s="7" t="str">
        <f t="shared" si="1"/>
        <v>mayo 2026</v>
      </c>
    </row>
    <row r="363" spans="1:8" ht="22.5" customHeight="1" x14ac:dyDescent="0.25">
      <c r="A363" s="8">
        <v>46164</v>
      </c>
      <c r="B363" s="7" t="s">
        <v>474</v>
      </c>
      <c r="C363" s="7" t="s">
        <v>20</v>
      </c>
      <c r="D363" s="7">
        <v>200000</v>
      </c>
      <c r="E363" s="7" t="s">
        <v>50</v>
      </c>
      <c r="F363" s="7"/>
      <c r="G363" s="7" t="s">
        <v>27</v>
      </c>
      <c r="H363" s="7" t="str">
        <f t="shared" si="1"/>
        <v>mayo 2026</v>
      </c>
    </row>
    <row r="364" spans="1:8" ht="22.5" customHeight="1" x14ac:dyDescent="0.25">
      <c r="A364" s="8">
        <v>46165</v>
      </c>
      <c r="B364" s="7" t="s">
        <v>475</v>
      </c>
      <c r="C364" s="7" t="s">
        <v>20</v>
      </c>
      <c r="D364" s="7">
        <v>916000</v>
      </c>
      <c r="E364" s="7" t="s">
        <v>50</v>
      </c>
      <c r="F364" s="7"/>
      <c r="G364" s="7" t="s">
        <v>418</v>
      </c>
      <c r="H364" s="7" t="str">
        <f t="shared" si="1"/>
        <v>mayo 2026</v>
      </c>
    </row>
    <row r="365" spans="1:8" ht="22.5" customHeight="1" x14ac:dyDescent="0.25">
      <c r="A365" s="8">
        <v>46165</v>
      </c>
      <c r="B365" s="7" t="s">
        <v>476</v>
      </c>
      <c r="C365" s="7" t="s">
        <v>20</v>
      </c>
      <c r="D365" s="7">
        <v>315000</v>
      </c>
      <c r="E365" s="7" t="s">
        <v>50</v>
      </c>
      <c r="F365" s="7"/>
      <c r="G365" s="7" t="s">
        <v>418</v>
      </c>
      <c r="H365" s="7" t="str">
        <f t="shared" si="1"/>
        <v>mayo 2026</v>
      </c>
    </row>
    <row r="366" spans="1:8" ht="22.5" customHeight="1" x14ac:dyDescent="0.25">
      <c r="A366" s="8">
        <v>46165</v>
      </c>
      <c r="B366" s="7" t="s">
        <v>477</v>
      </c>
      <c r="C366" s="7" t="s">
        <v>41</v>
      </c>
      <c r="D366" s="7">
        <v>165000</v>
      </c>
      <c r="E366" s="7" t="s">
        <v>31</v>
      </c>
      <c r="F366" s="7" t="s">
        <v>418</v>
      </c>
      <c r="G366" s="7"/>
      <c r="H366" s="7" t="str">
        <f t="shared" si="1"/>
        <v>mayo 2026</v>
      </c>
    </row>
    <row r="367" spans="1:8" ht="22.5" customHeight="1" x14ac:dyDescent="0.25">
      <c r="A367" s="8">
        <v>46165</v>
      </c>
      <c r="B367" s="7" t="s">
        <v>478</v>
      </c>
      <c r="C367" s="7" t="s">
        <v>41</v>
      </c>
      <c r="D367" s="7">
        <v>30000</v>
      </c>
      <c r="E367" s="7" t="s">
        <v>31</v>
      </c>
      <c r="F367" s="7" t="s">
        <v>27</v>
      </c>
      <c r="G367" s="7"/>
      <c r="H367" s="7" t="str">
        <f t="shared" si="1"/>
        <v>mayo 2026</v>
      </c>
    </row>
    <row r="368" spans="1:8" ht="22.5" customHeight="1" x14ac:dyDescent="0.25">
      <c r="A368" s="8">
        <v>46198</v>
      </c>
      <c r="B368" s="7" t="s">
        <v>479</v>
      </c>
      <c r="C368" s="7" t="s">
        <v>41</v>
      </c>
      <c r="D368" s="7">
        <v>38000</v>
      </c>
      <c r="E368" s="7" t="s">
        <v>31</v>
      </c>
      <c r="F368" s="7" t="s">
        <v>27</v>
      </c>
      <c r="G368" s="7"/>
      <c r="H368" s="7" t="str">
        <f t="shared" si="1"/>
        <v>junio 2026</v>
      </c>
    </row>
    <row r="369" spans="1:8" ht="22.5" customHeight="1" x14ac:dyDescent="0.25">
      <c r="A369" s="8">
        <v>46167</v>
      </c>
      <c r="B369" s="7" t="s">
        <v>480</v>
      </c>
      <c r="C369" s="7" t="s">
        <v>41</v>
      </c>
      <c r="D369" s="7">
        <v>18400</v>
      </c>
      <c r="E369" s="7" t="s">
        <v>58</v>
      </c>
      <c r="F369" s="7" t="s">
        <v>27</v>
      </c>
      <c r="G369" s="7"/>
      <c r="H369" s="7" t="str">
        <f t="shared" si="1"/>
        <v>mayo 2026</v>
      </c>
    </row>
    <row r="370" spans="1:8" ht="22.5" customHeight="1" x14ac:dyDescent="0.25">
      <c r="A370" s="8">
        <v>46168</v>
      </c>
      <c r="B370" s="7" t="s">
        <v>481</v>
      </c>
      <c r="C370" s="7" t="s">
        <v>354</v>
      </c>
      <c r="D370" s="7">
        <v>40000</v>
      </c>
      <c r="E370" s="7" t="s">
        <v>391</v>
      </c>
      <c r="F370" s="7" t="s">
        <v>27</v>
      </c>
      <c r="G370" s="7" t="s">
        <v>389</v>
      </c>
      <c r="H370" s="7" t="str">
        <f t="shared" si="1"/>
        <v>mayo 2026</v>
      </c>
    </row>
    <row r="371" spans="1:8" ht="22.5" customHeight="1" x14ac:dyDescent="0.25">
      <c r="A371" s="8">
        <v>46171</v>
      </c>
      <c r="B371" s="7" t="s">
        <v>482</v>
      </c>
      <c r="C371" s="7" t="s">
        <v>354</v>
      </c>
      <c r="D371" s="7">
        <v>1460000</v>
      </c>
      <c r="E371" s="7" t="s">
        <v>355</v>
      </c>
      <c r="F371" s="7" t="s">
        <v>27</v>
      </c>
      <c r="G371" s="7" t="s">
        <v>355</v>
      </c>
      <c r="H371" s="7" t="str">
        <f t="shared" si="1"/>
        <v>mayo 2026</v>
      </c>
    </row>
    <row r="372" spans="1:8" ht="22.5" customHeight="1" x14ac:dyDescent="0.25">
      <c r="A372" s="8">
        <v>46171</v>
      </c>
      <c r="B372" s="7" t="s">
        <v>482</v>
      </c>
      <c r="C372" s="7" t="s">
        <v>354</v>
      </c>
      <c r="D372" s="7">
        <v>1455000</v>
      </c>
      <c r="E372" s="7" t="s">
        <v>355</v>
      </c>
      <c r="F372" s="7" t="s">
        <v>418</v>
      </c>
      <c r="G372" s="7" t="s">
        <v>355</v>
      </c>
      <c r="H372" s="7" t="str">
        <f t="shared" si="1"/>
        <v>mayo 2026</v>
      </c>
    </row>
    <row r="373" spans="1:8" ht="22.5" customHeight="1" x14ac:dyDescent="0.25">
      <c r="A373" s="8">
        <v>46173</v>
      </c>
      <c r="B373" s="7" t="s">
        <v>483</v>
      </c>
      <c r="C373" s="7" t="s">
        <v>41</v>
      </c>
      <c r="D373" s="7">
        <v>54821</v>
      </c>
      <c r="E373" s="7" t="s">
        <v>31</v>
      </c>
      <c r="F373" s="7" t="s">
        <v>27</v>
      </c>
      <c r="G373" s="7"/>
      <c r="H373" s="7" t="str">
        <f t="shared" si="1"/>
        <v>mayo 2026</v>
      </c>
    </row>
    <row r="374" spans="1:8" ht="22.5" customHeight="1" x14ac:dyDescent="0.25">
      <c r="A374" s="8">
        <v>46173</v>
      </c>
      <c r="B374" s="7" t="s">
        <v>485</v>
      </c>
      <c r="C374" s="7" t="s">
        <v>354</v>
      </c>
      <c r="D374" s="7">
        <v>20000</v>
      </c>
      <c r="E374" s="7" t="s">
        <v>391</v>
      </c>
      <c r="F374" s="7" t="s">
        <v>27</v>
      </c>
      <c r="G374" s="7" t="s">
        <v>418</v>
      </c>
      <c r="H374" s="7" t="str">
        <f t="shared" si="1"/>
        <v>mayo 2026</v>
      </c>
    </row>
    <row r="375" spans="1:8" ht="22.5" customHeight="1" x14ac:dyDescent="0.25">
      <c r="A375" s="8">
        <v>46174</v>
      </c>
      <c r="B375" s="7" t="s">
        <v>486</v>
      </c>
      <c r="C375" s="7" t="s">
        <v>20</v>
      </c>
      <c r="D375" s="7">
        <v>20000</v>
      </c>
      <c r="E375" s="7" t="s">
        <v>275</v>
      </c>
      <c r="F375" s="7"/>
      <c r="G375" s="7" t="s">
        <v>27</v>
      </c>
      <c r="H375" s="7" t="str">
        <f t="shared" si="1"/>
        <v>junio 2026</v>
      </c>
    </row>
    <row r="376" spans="1:8" ht="22.5" customHeight="1" x14ac:dyDescent="0.25">
      <c r="A376" s="8">
        <v>46174</v>
      </c>
      <c r="B376" s="7" t="s">
        <v>487</v>
      </c>
      <c r="C376" s="7" t="s">
        <v>41</v>
      </c>
      <c r="D376" s="7">
        <v>62000</v>
      </c>
      <c r="E376" s="7" t="s">
        <v>180</v>
      </c>
      <c r="F376" s="7" t="s">
        <v>27</v>
      </c>
      <c r="G376" s="7"/>
      <c r="H376" s="7" t="str">
        <f t="shared" si="1"/>
        <v>junio 2026</v>
      </c>
    </row>
    <row r="377" spans="1:8" ht="22.5" customHeight="1" x14ac:dyDescent="0.25">
      <c r="A377" s="8">
        <v>46176</v>
      </c>
      <c r="B377" s="7" t="s">
        <v>488</v>
      </c>
      <c r="C377" s="7" t="s">
        <v>41</v>
      </c>
      <c r="D377" s="7">
        <v>2400</v>
      </c>
      <c r="E377" s="7" t="s">
        <v>31</v>
      </c>
      <c r="F377" s="7" t="s">
        <v>27</v>
      </c>
      <c r="G377" s="7"/>
      <c r="H377" s="7" t="str">
        <f t="shared" si="1"/>
        <v>junio 2026</v>
      </c>
    </row>
    <row r="378" spans="1:8" ht="22.5" customHeight="1" x14ac:dyDescent="0.25">
      <c r="A378" s="8">
        <v>46176</v>
      </c>
      <c r="B378" s="7" t="s">
        <v>166</v>
      </c>
      <c r="C378" s="7" t="s">
        <v>41</v>
      </c>
      <c r="D378" s="7">
        <v>13800</v>
      </c>
      <c r="E378" s="7" t="s">
        <v>58</v>
      </c>
      <c r="F378" s="7" t="s">
        <v>27</v>
      </c>
      <c r="G378" s="7"/>
      <c r="H378" s="7" t="str">
        <f t="shared" si="1"/>
        <v>junio 2026</v>
      </c>
    </row>
    <row r="379" spans="1:8" ht="22.5" customHeight="1" x14ac:dyDescent="0.25">
      <c r="A379" s="8">
        <v>46177</v>
      </c>
      <c r="B379" s="7" t="s">
        <v>489</v>
      </c>
      <c r="C379" s="7" t="s">
        <v>20</v>
      </c>
      <c r="D379" s="7">
        <v>45000</v>
      </c>
      <c r="E379" s="7" t="s">
        <v>275</v>
      </c>
      <c r="F379" s="7"/>
      <c r="G379" s="7" t="s">
        <v>27</v>
      </c>
      <c r="H379" s="7" t="str">
        <f t="shared" si="1"/>
        <v>junio 2026</v>
      </c>
    </row>
    <row r="380" spans="1:8" ht="22.5" customHeight="1" x14ac:dyDescent="0.25">
      <c r="A380" s="8">
        <v>46177</v>
      </c>
      <c r="B380" s="7" t="s">
        <v>490</v>
      </c>
      <c r="C380" s="7" t="s">
        <v>41</v>
      </c>
      <c r="D380" s="7">
        <v>22901</v>
      </c>
      <c r="E380" s="7" t="s">
        <v>58</v>
      </c>
      <c r="F380" s="7" t="s">
        <v>27</v>
      </c>
      <c r="G380" s="7"/>
      <c r="H380" s="7" t="str">
        <f t="shared" si="1"/>
        <v>junio 2026</v>
      </c>
    </row>
    <row r="381" spans="1:8" ht="22.5" customHeight="1" x14ac:dyDescent="0.25">
      <c r="A381" s="8">
        <v>46177</v>
      </c>
      <c r="B381" s="7" t="s">
        <v>491</v>
      </c>
      <c r="C381" s="7" t="s">
        <v>354</v>
      </c>
      <c r="D381" s="7">
        <v>41000</v>
      </c>
      <c r="E381" s="7" t="s">
        <v>391</v>
      </c>
      <c r="F381" s="7" t="s">
        <v>389</v>
      </c>
      <c r="G381" s="7" t="s">
        <v>27</v>
      </c>
      <c r="H381" s="7" t="str">
        <f t="shared" si="1"/>
        <v>junio 2026</v>
      </c>
    </row>
    <row r="382" spans="1:8" ht="22.5" customHeight="1" x14ac:dyDescent="0.25">
      <c r="A382" s="8">
        <v>46177</v>
      </c>
      <c r="B382" s="7" t="s">
        <v>492</v>
      </c>
      <c r="C382" s="7" t="s">
        <v>41</v>
      </c>
      <c r="D382" s="7">
        <v>40500</v>
      </c>
      <c r="E382" s="7" t="s">
        <v>58</v>
      </c>
      <c r="F382" s="7" t="s">
        <v>27</v>
      </c>
      <c r="G382" s="7"/>
      <c r="H382" s="7" t="str">
        <f t="shared" si="1"/>
        <v>junio 2026</v>
      </c>
    </row>
    <row r="383" spans="1:8" ht="22.5" customHeight="1" x14ac:dyDescent="0.25">
      <c r="A383" s="8">
        <v>46177</v>
      </c>
      <c r="B383" s="7" t="s">
        <v>493</v>
      </c>
      <c r="C383" s="7" t="s">
        <v>41</v>
      </c>
      <c r="D383" s="7">
        <v>12000</v>
      </c>
      <c r="E383" s="7" t="s">
        <v>31</v>
      </c>
      <c r="F383" s="7" t="s">
        <v>418</v>
      </c>
      <c r="G383" s="7"/>
      <c r="H383" s="7" t="str">
        <f t="shared" si="1"/>
        <v>junio 2026</v>
      </c>
    </row>
    <row r="384" spans="1:8" ht="22.5" customHeight="1" x14ac:dyDescent="0.25">
      <c r="A384" s="8">
        <v>46178</v>
      </c>
      <c r="B384" s="7" t="s">
        <v>494</v>
      </c>
      <c r="C384" s="7" t="s">
        <v>41</v>
      </c>
      <c r="D384" s="7">
        <v>26000</v>
      </c>
      <c r="E384" s="7" t="s">
        <v>187</v>
      </c>
      <c r="F384" s="7" t="s">
        <v>27</v>
      </c>
      <c r="G384" s="7"/>
      <c r="H384" s="7" t="str">
        <f t="shared" si="1"/>
        <v>junio 2026</v>
      </c>
    </row>
    <row r="385" spans="1:8" ht="22.5" customHeight="1" x14ac:dyDescent="0.25">
      <c r="A385" s="8">
        <v>46179</v>
      </c>
      <c r="B385" s="7" t="s">
        <v>495</v>
      </c>
      <c r="C385" s="7" t="s">
        <v>41</v>
      </c>
      <c r="D385" s="7">
        <v>10000</v>
      </c>
      <c r="E385" s="7" t="s">
        <v>31</v>
      </c>
      <c r="F385" s="7" t="s">
        <v>27</v>
      </c>
      <c r="G385" s="7"/>
      <c r="H385" s="7" t="str">
        <f t="shared" si="1"/>
        <v>junio 2026</v>
      </c>
    </row>
    <row r="386" spans="1:8" ht="22.5" customHeight="1" x14ac:dyDescent="0.25">
      <c r="A386" s="8">
        <v>46180</v>
      </c>
      <c r="B386" s="7" t="s">
        <v>496</v>
      </c>
      <c r="C386" s="7" t="s">
        <v>41</v>
      </c>
      <c r="D386" s="7">
        <v>23000</v>
      </c>
      <c r="E386" s="7" t="s">
        <v>31</v>
      </c>
      <c r="F386" s="7" t="s">
        <v>27</v>
      </c>
      <c r="G386" s="7"/>
      <c r="H386" s="7" t="str">
        <f t="shared" si="1"/>
        <v>junio 2026</v>
      </c>
    </row>
    <row r="387" spans="1:8" ht="22.5" customHeight="1" x14ac:dyDescent="0.25">
      <c r="A387" s="8">
        <v>46180</v>
      </c>
      <c r="B387" s="7" t="s">
        <v>497</v>
      </c>
      <c r="C387" s="7" t="s">
        <v>41</v>
      </c>
      <c r="D387" s="7">
        <v>10000</v>
      </c>
      <c r="E387" s="7" t="s">
        <v>50</v>
      </c>
      <c r="F387" s="7" t="s">
        <v>27</v>
      </c>
      <c r="G387" s="7"/>
      <c r="H387" s="7" t="str">
        <f t="shared" si="1"/>
        <v>junio 2026</v>
      </c>
    </row>
    <row r="388" spans="1:8" ht="22.5" customHeight="1" x14ac:dyDescent="0.25">
      <c r="A388" s="8">
        <v>46180</v>
      </c>
      <c r="B388" s="7" t="s">
        <v>498</v>
      </c>
      <c r="C388" s="7" t="s">
        <v>41</v>
      </c>
      <c r="D388" s="7">
        <v>14000</v>
      </c>
      <c r="E388" s="7" t="s">
        <v>31</v>
      </c>
      <c r="F388" s="7" t="s">
        <v>27</v>
      </c>
      <c r="G388" s="7"/>
      <c r="H388" s="7" t="str">
        <f t="shared" si="1"/>
        <v>junio 2026</v>
      </c>
    </row>
    <row r="389" spans="1:8" ht="22.5" customHeight="1" x14ac:dyDescent="0.25">
      <c r="A389" s="8">
        <v>46181</v>
      </c>
      <c r="B389" s="7" t="s">
        <v>500</v>
      </c>
      <c r="C389" s="7" t="s">
        <v>41</v>
      </c>
      <c r="D389" s="7">
        <v>5000</v>
      </c>
      <c r="E389" s="7" t="s">
        <v>31</v>
      </c>
      <c r="F389" s="7" t="s">
        <v>27</v>
      </c>
      <c r="G389" s="7"/>
      <c r="H389" s="7" t="str">
        <f t="shared" si="1"/>
        <v>junio 2026</v>
      </c>
    </row>
    <row r="390" spans="1:8" ht="22.5" customHeight="1" x14ac:dyDescent="0.25">
      <c r="A390" s="8">
        <v>46181</v>
      </c>
      <c r="B390" s="7" t="s">
        <v>501</v>
      </c>
      <c r="C390" s="7" t="s">
        <v>41</v>
      </c>
      <c r="D390" s="7">
        <v>366000</v>
      </c>
      <c r="E390" s="7" t="s">
        <v>84</v>
      </c>
      <c r="F390" s="7" t="s">
        <v>27</v>
      </c>
      <c r="G390" s="7"/>
      <c r="H390" s="7" t="str">
        <f t="shared" si="1"/>
        <v>junio 2026</v>
      </c>
    </row>
    <row r="391" spans="1:8" ht="22.5" customHeight="1" x14ac:dyDescent="0.25">
      <c r="A391" s="8">
        <v>46181</v>
      </c>
      <c r="B391" s="7" t="s">
        <v>447</v>
      </c>
      <c r="C391" s="7" t="s">
        <v>20</v>
      </c>
      <c r="D391" s="7">
        <v>2306000</v>
      </c>
      <c r="E391" s="7" t="s">
        <v>0</v>
      </c>
      <c r="F391" s="7"/>
      <c r="G391" s="7" t="s">
        <v>27</v>
      </c>
      <c r="H391" s="7" t="str">
        <f t="shared" si="1"/>
        <v>junio 2026</v>
      </c>
    </row>
    <row r="392" spans="1:8" ht="22.5" customHeight="1" x14ac:dyDescent="0.25">
      <c r="A392" s="8">
        <v>46181</v>
      </c>
      <c r="B392" s="7" t="s">
        <v>502</v>
      </c>
      <c r="C392" s="7" t="s">
        <v>41</v>
      </c>
      <c r="D392" s="7">
        <v>495000</v>
      </c>
      <c r="E392" s="7" t="s">
        <v>50</v>
      </c>
      <c r="F392" s="7" t="s">
        <v>27</v>
      </c>
      <c r="G392" s="7"/>
      <c r="H392" s="7" t="str">
        <f t="shared" si="1"/>
        <v>junio 2026</v>
      </c>
    </row>
    <row r="393" spans="1:8" ht="22.5" customHeight="1" x14ac:dyDescent="0.25">
      <c r="A393" s="8">
        <v>46181</v>
      </c>
      <c r="B393" s="7" t="s">
        <v>503</v>
      </c>
      <c r="C393" s="7" t="s">
        <v>41</v>
      </c>
      <c r="D393" s="7">
        <v>6000</v>
      </c>
      <c r="E393" s="7" t="s">
        <v>31</v>
      </c>
      <c r="F393" s="7" t="s">
        <v>27</v>
      </c>
      <c r="G393" s="7"/>
      <c r="H393" s="7" t="str">
        <f t="shared" si="1"/>
        <v>junio 2026</v>
      </c>
    </row>
    <row r="394" spans="1:8" ht="22.5" customHeight="1" x14ac:dyDescent="0.25">
      <c r="A394" s="8">
        <v>46182</v>
      </c>
      <c r="B394" s="7" t="s">
        <v>504</v>
      </c>
      <c r="C394" s="7" t="s">
        <v>354</v>
      </c>
      <c r="D394" s="7">
        <v>150000</v>
      </c>
      <c r="E394" s="7" t="s">
        <v>391</v>
      </c>
      <c r="F394" s="7" t="s">
        <v>413</v>
      </c>
      <c r="G394" s="7" t="s">
        <v>27</v>
      </c>
      <c r="H394" s="7" t="str">
        <f t="shared" si="1"/>
        <v>junio 2026</v>
      </c>
    </row>
    <row r="395" spans="1:8" ht="22.5" customHeight="1" x14ac:dyDescent="0.25">
      <c r="A395" s="8">
        <v>46183</v>
      </c>
      <c r="B395" s="7" t="s">
        <v>505</v>
      </c>
      <c r="C395" s="7" t="s">
        <v>41</v>
      </c>
      <c r="D395" s="7">
        <v>8000</v>
      </c>
      <c r="E395" s="7" t="s">
        <v>31</v>
      </c>
      <c r="F395" s="7" t="s">
        <v>27</v>
      </c>
      <c r="G395" s="7"/>
      <c r="H395" s="7" t="str">
        <f t="shared" si="1"/>
        <v>junio 2026</v>
      </c>
    </row>
    <row r="396" spans="1:8" ht="22.5" customHeight="1" x14ac:dyDescent="0.25">
      <c r="A396" s="8">
        <v>46183</v>
      </c>
      <c r="B396" s="7" t="s">
        <v>506</v>
      </c>
      <c r="C396" s="7" t="s">
        <v>20</v>
      </c>
      <c r="D396" s="7">
        <v>190000</v>
      </c>
      <c r="E396" s="7" t="s">
        <v>120</v>
      </c>
      <c r="F396" s="7"/>
      <c r="G396" s="7" t="s">
        <v>27</v>
      </c>
      <c r="H396" s="7" t="str">
        <f t="shared" si="1"/>
        <v>junio 2026</v>
      </c>
    </row>
    <row r="397" spans="1:8" ht="22.5" customHeight="1" x14ac:dyDescent="0.25">
      <c r="A397" s="8">
        <v>46184</v>
      </c>
      <c r="B397" s="7" t="s">
        <v>507</v>
      </c>
      <c r="C397" s="7" t="s">
        <v>41</v>
      </c>
      <c r="D397" s="7">
        <v>425000</v>
      </c>
      <c r="E397" s="7" t="s">
        <v>50</v>
      </c>
      <c r="F397" s="7" t="s">
        <v>27</v>
      </c>
      <c r="G397" s="7"/>
      <c r="H397" s="7" t="str">
        <f t="shared" si="1"/>
        <v>junio 2026</v>
      </c>
    </row>
    <row r="398" spans="1:8" ht="22.5" customHeight="1" x14ac:dyDescent="0.25">
      <c r="A398" s="8">
        <v>46184</v>
      </c>
      <c r="B398" s="7" t="s">
        <v>508</v>
      </c>
      <c r="C398" s="7" t="s">
        <v>41</v>
      </c>
      <c r="D398" s="7">
        <v>130000</v>
      </c>
      <c r="E398" s="7" t="s">
        <v>187</v>
      </c>
      <c r="F398" s="7" t="s">
        <v>27</v>
      </c>
      <c r="G398" s="7"/>
      <c r="H398" s="7" t="str">
        <f t="shared" si="1"/>
        <v>junio 2026</v>
      </c>
    </row>
    <row r="399" spans="1:8" ht="22.5" customHeight="1" x14ac:dyDescent="0.25">
      <c r="A399" s="8">
        <v>46184</v>
      </c>
      <c r="B399" s="7" t="s">
        <v>509</v>
      </c>
      <c r="C399" s="7" t="s">
        <v>20</v>
      </c>
      <c r="D399" s="7">
        <v>500000</v>
      </c>
      <c r="E399" s="7" t="s">
        <v>50</v>
      </c>
      <c r="F399" s="7"/>
      <c r="G399" s="7" t="s">
        <v>27</v>
      </c>
      <c r="H399" s="7" t="str">
        <f t="shared" si="1"/>
        <v>junio 2026</v>
      </c>
    </row>
    <row r="400" spans="1:8" ht="22.5" customHeight="1" x14ac:dyDescent="0.25">
      <c r="A400" s="8">
        <v>46185</v>
      </c>
      <c r="B400" s="7" t="s">
        <v>368</v>
      </c>
      <c r="C400" s="7" t="s">
        <v>41</v>
      </c>
      <c r="D400" s="7">
        <v>87000</v>
      </c>
      <c r="E400" s="7" t="s">
        <v>76</v>
      </c>
      <c r="F400" s="7" t="s">
        <v>27</v>
      </c>
      <c r="G400" s="7"/>
      <c r="H400" s="7" t="str">
        <f t="shared" si="1"/>
        <v>junio 2026</v>
      </c>
    </row>
    <row r="401" spans="1:8" ht="22.5" customHeight="1" x14ac:dyDescent="0.25">
      <c r="A401" s="8">
        <v>46185</v>
      </c>
      <c r="B401" s="7" t="s">
        <v>510</v>
      </c>
      <c r="C401" s="7" t="s">
        <v>41</v>
      </c>
      <c r="D401" s="7">
        <v>6000</v>
      </c>
      <c r="E401" s="7" t="s">
        <v>180</v>
      </c>
      <c r="F401" s="7" t="s">
        <v>27</v>
      </c>
      <c r="G401" s="7"/>
      <c r="H401" s="7" t="str">
        <f t="shared" si="1"/>
        <v>junio 2026</v>
      </c>
    </row>
    <row r="402" spans="1:8" ht="22.5" customHeight="1" x14ac:dyDescent="0.25">
      <c r="A402" s="8">
        <v>46185</v>
      </c>
      <c r="B402" s="7" t="s">
        <v>511</v>
      </c>
      <c r="C402" s="7" t="s">
        <v>354</v>
      </c>
      <c r="D402" s="7">
        <v>17000</v>
      </c>
      <c r="E402" s="7" t="s">
        <v>391</v>
      </c>
      <c r="F402" s="7" t="s">
        <v>27</v>
      </c>
      <c r="G402" s="7" t="s">
        <v>418</v>
      </c>
      <c r="H402" s="7" t="str">
        <f t="shared" si="1"/>
        <v>junio 2026</v>
      </c>
    </row>
    <row r="403" spans="1:8" ht="22.5" customHeight="1" x14ac:dyDescent="0.25">
      <c r="A403" s="8">
        <v>46186</v>
      </c>
      <c r="B403" s="7" t="s">
        <v>512</v>
      </c>
      <c r="C403" s="7" t="s">
        <v>354</v>
      </c>
      <c r="D403" s="7">
        <v>40000</v>
      </c>
      <c r="E403" s="7" t="s">
        <v>391</v>
      </c>
      <c r="F403" s="7" t="s">
        <v>27</v>
      </c>
      <c r="G403" s="7" t="s">
        <v>418</v>
      </c>
      <c r="H403" s="7" t="str">
        <f t="shared" si="1"/>
        <v>junio 2026</v>
      </c>
    </row>
    <row r="404" spans="1:8" ht="22.5" customHeight="1" x14ac:dyDescent="0.25">
      <c r="A404" s="8">
        <v>46186</v>
      </c>
      <c r="B404" s="7" t="s">
        <v>513</v>
      </c>
      <c r="C404" s="7" t="s">
        <v>41</v>
      </c>
      <c r="D404" s="7">
        <v>8000</v>
      </c>
      <c r="E404" s="7" t="s">
        <v>31</v>
      </c>
      <c r="F404" s="7" t="s">
        <v>27</v>
      </c>
      <c r="G404" s="7"/>
      <c r="H404" s="7" t="str">
        <f t="shared" si="1"/>
        <v>junio 2026</v>
      </c>
    </row>
    <row r="405" spans="1:8" ht="22.5" customHeight="1" x14ac:dyDescent="0.25">
      <c r="A405" s="8">
        <v>46188</v>
      </c>
      <c r="B405" s="7" t="s">
        <v>514</v>
      </c>
      <c r="C405" s="7" t="s">
        <v>41</v>
      </c>
      <c r="D405" s="7">
        <v>20000</v>
      </c>
      <c r="E405" s="7" t="s">
        <v>31</v>
      </c>
      <c r="F405" s="7" t="s">
        <v>27</v>
      </c>
      <c r="G405" s="7"/>
      <c r="H405" s="7" t="str">
        <f t="shared" si="1"/>
        <v>junio 2026</v>
      </c>
    </row>
    <row r="406" spans="1:8" ht="22.5" customHeight="1" x14ac:dyDescent="0.25">
      <c r="A406" s="8">
        <v>46188</v>
      </c>
      <c r="B406" s="7" t="s">
        <v>515</v>
      </c>
      <c r="C406" s="7" t="s">
        <v>41</v>
      </c>
      <c r="D406" s="7">
        <v>7000</v>
      </c>
      <c r="E406" s="7" t="s">
        <v>31</v>
      </c>
      <c r="F406" s="7" t="s">
        <v>27</v>
      </c>
      <c r="G406" s="7"/>
      <c r="H406" s="7" t="str">
        <f t="shared" si="1"/>
        <v>junio 2026</v>
      </c>
    </row>
    <row r="407" spans="1:8" ht="22.5" customHeight="1" x14ac:dyDescent="0.25">
      <c r="A407" s="8">
        <v>46188</v>
      </c>
      <c r="B407" s="7" t="s">
        <v>516</v>
      </c>
      <c r="C407" s="7" t="s">
        <v>20</v>
      </c>
      <c r="D407" s="7">
        <v>3313000</v>
      </c>
      <c r="E407" s="7" t="s">
        <v>50</v>
      </c>
      <c r="F407" s="7"/>
      <c r="G407" s="7" t="s">
        <v>418</v>
      </c>
      <c r="H407" s="7" t="str">
        <f t="shared" si="1"/>
        <v>junio 2026</v>
      </c>
    </row>
    <row r="408" spans="1:8" ht="22.5" customHeight="1" x14ac:dyDescent="0.25">
      <c r="A408" s="8">
        <v>46188</v>
      </c>
      <c r="B408" s="7" t="s">
        <v>517</v>
      </c>
      <c r="C408" s="7" t="s">
        <v>354</v>
      </c>
      <c r="D408" s="7">
        <v>2000000</v>
      </c>
      <c r="E408" s="7" t="s">
        <v>391</v>
      </c>
      <c r="F408" s="7" t="s">
        <v>418</v>
      </c>
      <c r="G408" s="7">
        <v>2027</v>
      </c>
      <c r="H408" s="7" t="str">
        <f t="shared" si="1"/>
        <v>junio 2026</v>
      </c>
    </row>
    <row r="409" spans="1:8" ht="22.5" customHeight="1" x14ac:dyDescent="0.25">
      <c r="A409" s="8">
        <v>46190</v>
      </c>
      <c r="B409" s="7" t="s">
        <v>518</v>
      </c>
      <c r="C409" s="7" t="s">
        <v>354</v>
      </c>
      <c r="D409" s="7">
        <v>900000</v>
      </c>
      <c r="E409" s="7" t="s">
        <v>391</v>
      </c>
      <c r="F409" s="7" t="s">
        <v>418</v>
      </c>
      <c r="G409" s="7">
        <v>2027</v>
      </c>
      <c r="H409" s="7" t="str">
        <f t="shared" si="1"/>
        <v>junio 2026</v>
      </c>
    </row>
    <row r="410" spans="1:8" ht="22.5" customHeight="1" x14ac:dyDescent="0.25">
      <c r="A410" s="8">
        <v>46190</v>
      </c>
      <c r="B410" s="7" t="s">
        <v>519</v>
      </c>
      <c r="C410" s="7" t="s">
        <v>41</v>
      </c>
      <c r="D410" s="7">
        <v>33000</v>
      </c>
      <c r="E410" s="7" t="s">
        <v>31</v>
      </c>
      <c r="F410" s="7" t="s">
        <v>418</v>
      </c>
      <c r="G410" s="7"/>
      <c r="H410" s="7" t="str">
        <f t="shared" si="1"/>
        <v>junio 2026</v>
      </c>
    </row>
    <row r="411" spans="1:8" ht="22.5" customHeight="1" x14ac:dyDescent="0.25">
      <c r="A411" s="8">
        <v>46190</v>
      </c>
      <c r="B411" s="7" t="s">
        <v>520</v>
      </c>
      <c r="C411" s="7" t="s">
        <v>41</v>
      </c>
      <c r="D411" s="7">
        <v>8000</v>
      </c>
      <c r="E411" s="7" t="s">
        <v>31</v>
      </c>
      <c r="F411" s="7" t="s">
        <v>418</v>
      </c>
      <c r="G411" s="7"/>
      <c r="H411" s="7" t="str">
        <f t="shared" si="1"/>
        <v>junio 2026</v>
      </c>
    </row>
    <row r="412" spans="1:8" ht="22.5" customHeight="1" x14ac:dyDescent="0.25">
      <c r="A412" s="8">
        <v>46190</v>
      </c>
      <c r="B412" s="7" t="s">
        <v>521</v>
      </c>
      <c r="C412" s="7" t="s">
        <v>354</v>
      </c>
      <c r="D412" s="7">
        <v>150000</v>
      </c>
      <c r="E412" s="7" t="s">
        <v>391</v>
      </c>
      <c r="F412" s="7" t="s">
        <v>72</v>
      </c>
      <c r="G412" s="7" t="s">
        <v>27</v>
      </c>
      <c r="H412" s="7" t="str">
        <f t="shared" si="1"/>
        <v>junio 2026</v>
      </c>
    </row>
    <row r="413" spans="1:8" ht="22.5" customHeight="1" x14ac:dyDescent="0.25">
      <c r="A413" s="8">
        <v>46190</v>
      </c>
      <c r="B413" s="7" t="s">
        <v>522</v>
      </c>
      <c r="C413" s="7" t="s">
        <v>41</v>
      </c>
      <c r="D413" s="7">
        <v>70000</v>
      </c>
      <c r="E413" s="7" t="s">
        <v>145</v>
      </c>
      <c r="F413" s="7" t="s">
        <v>418</v>
      </c>
      <c r="G413" s="7"/>
      <c r="H413" s="7" t="str">
        <f t="shared" si="1"/>
        <v>junio 2026</v>
      </c>
    </row>
    <row r="414" spans="1:8" ht="22.5" customHeight="1" x14ac:dyDescent="0.25">
      <c r="A414" s="8">
        <v>46190</v>
      </c>
      <c r="B414" s="7" t="s">
        <v>523</v>
      </c>
      <c r="C414" s="7" t="s">
        <v>20</v>
      </c>
      <c r="D414" s="7">
        <v>800000</v>
      </c>
      <c r="E414" s="7" t="s">
        <v>50</v>
      </c>
      <c r="F414" s="7"/>
      <c r="G414" s="7" t="s">
        <v>27</v>
      </c>
      <c r="H414" s="7" t="str">
        <f t="shared" si="1"/>
        <v>junio 2026</v>
      </c>
    </row>
    <row r="415" spans="1:8" ht="22.5" customHeight="1" x14ac:dyDescent="0.25">
      <c r="A415" s="8">
        <v>46192</v>
      </c>
      <c r="B415" s="7" t="s">
        <v>524</v>
      </c>
      <c r="C415" s="7" t="s">
        <v>41</v>
      </c>
      <c r="D415" s="7">
        <v>20000</v>
      </c>
      <c r="E415" s="7" t="s">
        <v>76</v>
      </c>
      <c r="F415" s="7" t="s">
        <v>418</v>
      </c>
      <c r="G415" s="7"/>
      <c r="H415" s="7" t="str">
        <f t="shared" si="1"/>
        <v>junio 2026</v>
      </c>
    </row>
    <row r="416" spans="1:8" ht="22.5" customHeight="1" x14ac:dyDescent="0.25">
      <c r="A416" s="8">
        <v>46192</v>
      </c>
      <c r="B416" s="7" t="s">
        <v>524</v>
      </c>
      <c r="C416" s="7" t="s">
        <v>41</v>
      </c>
      <c r="D416" s="7">
        <v>60000</v>
      </c>
      <c r="E416" s="7" t="s">
        <v>76</v>
      </c>
      <c r="F416" s="7" t="s">
        <v>27</v>
      </c>
      <c r="G416" s="7"/>
      <c r="H416" s="7" t="str">
        <f t="shared" si="1"/>
        <v>junio 2026</v>
      </c>
    </row>
    <row r="417" spans="1:8" ht="22.5" customHeight="1" x14ac:dyDescent="0.25">
      <c r="A417" s="8">
        <v>46192</v>
      </c>
      <c r="B417" s="7" t="s">
        <v>525</v>
      </c>
      <c r="C417" s="7" t="s">
        <v>41</v>
      </c>
      <c r="D417" s="7">
        <v>60000</v>
      </c>
      <c r="E417" s="7" t="s">
        <v>31</v>
      </c>
      <c r="F417" s="7" t="s">
        <v>418</v>
      </c>
      <c r="G417" s="7"/>
      <c r="H417" s="7" t="str">
        <f t="shared" si="1"/>
        <v>junio 2026</v>
      </c>
    </row>
    <row r="418" spans="1:8" ht="22.5" customHeight="1" x14ac:dyDescent="0.25">
      <c r="A418" s="8">
        <v>46192</v>
      </c>
      <c r="B418" s="7" t="s">
        <v>526</v>
      </c>
      <c r="C418" s="7" t="s">
        <v>354</v>
      </c>
      <c r="D418" s="7">
        <v>30000</v>
      </c>
      <c r="E418" s="7" t="s">
        <v>391</v>
      </c>
      <c r="F418" s="7" t="s">
        <v>418</v>
      </c>
      <c r="G418" s="7" t="s">
        <v>27</v>
      </c>
      <c r="H418" s="7" t="str">
        <f t="shared" si="1"/>
        <v>junio 2026</v>
      </c>
    </row>
    <row r="419" spans="1:8" ht="22.5" customHeight="1" x14ac:dyDescent="0.25">
      <c r="A419" s="8">
        <v>46192</v>
      </c>
      <c r="B419" s="7" t="s">
        <v>527</v>
      </c>
      <c r="C419" s="7" t="s">
        <v>41</v>
      </c>
      <c r="D419" s="7">
        <v>160000</v>
      </c>
      <c r="E419" s="7" t="s">
        <v>180</v>
      </c>
      <c r="F419" s="7" t="s">
        <v>27</v>
      </c>
      <c r="G419" s="7"/>
      <c r="H419" s="7" t="str">
        <f t="shared" si="1"/>
        <v>junio 2026</v>
      </c>
    </row>
    <row r="420" spans="1:8" ht="22.5" customHeight="1" x14ac:dyDescent="0.25">
      <c r="A420" s="8">
        <v>46192</v>
      </c>
      <c r="B420" s="7" t="s">
        <v>528</v>
      </c>
      <c r="C420" s="7" t="s">
        <v>41</v>
      </c>
      <c r="D420" s="7">
        <v>12000</v>
      </c>
      <c r="E420" s="7" t="s">
        <v>31</v>
      </c>
      <c r="F420" s="7" t="s">
        <v>27</v>
      </c>
      <c r="G420" s="7"/>
      <c r="H420" s="7" t="str">
        <f t="shared" si="1"/>
        <v>junio 2026</v>
      </c>
    </row>
    <row r="421" spans="1:8" ht="22.5" customHeight="1" x14ac:dyDescent="0.25">
      <c r="A421" s="8">
        <v>46192</v>
      </c>
      <c r="B421" s="7" t="s">
        <v>529</v>
      </c>
      <c r="C421" s="7" t="s">
        <v>41</v>
      </c>
      <c r="D421" s="7">
        <v>18000</v>
      </c>
      <c r="E421" s="7" t="s">
        <v>31</v>
      </c>
      <c r="F421" s="7" t="s">
        <v>418</v>
      </c>
      <c r="G421" s="7"/>
      <c r="H421" s="7" t="str">
        <f t="shared" si="1"/>
        <v>junio 2026</v>
      </c>
    </row>
    <row r="422" spans="1:8" ht="22.5" customHeight="1" x14ac:dyDescent="0.25">
      <c r="A422" s="8">
        <v>46193</v>
      </c>
      <c r="B422" s="7" t="s">
        <v>530</v>
      </c>
      <c r="C422" s="7" t="s">
        <v>41</v>
      </c>
      <c r="D422" s="7">
        <v>13000</v>
      </c>
      <c r="E422" s="7" t="s">
        <v>31</v>
      </c>
      <c r="F422" s="7" t="s">
        <v>27</v>
      </c>
      <c r="G422" s="7"/>
      <c r="H422" s="7" t="str">
        <f t="shared" si="1"/>
        <v>junio 2026</v>
      </c>
    </row>
    <row r="423" spans="1:8" ht="22.5" customHeight="1" x14ac:dyDescent="0.25">
      <c r="A423" s="8">
        <v>46193</v>
      </c>
      <c r="B423" s="7" t="s">
        <v>531</v>
      </c>
      <c r="C423" s="7" t="s">
        <v>20</v>
      </c>
      <c r="D423" s="7">
        <v>1714000</v>
      </c>
      <c r="E423" s="7" t="s">
        <v>50</v>
      </c>
      <c r="F423" s="7"/>
      <c r="G423" s="7" t="s">
        <v>418</v>
      </c>
      <c r="H423" s="7" t="str">
        <f t="shared" si="1"/>
        <v>junio 2026</v>
      </c>
    </row>
    <row r="424" spans="1:8" ht="22.5" customHeight="1" x14ac:dyDescent="0.25">
      <c r="A424" s="8">
        <v>46197</v>
      </c>
      <c r="B424" s="7" t="s">
        <v>532</v>
      </c>
      <c r="C424" s="7" t="s">
        <v>41</v>
      </c>
      <c r="D424" s="7">
        <v>82415.25</v>
      </c>
      <c r="E424" s="7" t="s">
        <v>31</v>
      </c>
      <c r="F424" s="7" t="s">
        <v>27</v>
      </c>
      <c r="G424" s="7"/>
      <c r="H424" s="7" t="str">
        <f t="shared" si="1"/>
        <v>junio 2026</v>
      </c>
    </row>
    <row r="425" spans="1:8" ht="22.5" customHeight="1" x14ac:dyDescent="0.25">
      <c r="A425" s="8">
        <v>46197</v>
      </c>
      <c r="B425" s="7" t="s">
        <v>533</v>
      </c>
      <c r="C425" s="7" t="s">
        <v>41</v>
      </c>
      <c r="D425" s="7">
        <v>46000</v>
      </c>
      <c r="E425" s="7" t="s">
        <v>31</v>
      </c>
      <c r="F425" s="7" t="s">
        <v>418</v>
      </c>
      <c r="G425" s="7"/>
      <c r="H425" s="7" t="str">
        <f t="shared" si="1"/>
        <v>junio 2026</v>
      </c>
    </row>
    <row r="426" spans="1:8" ht="22.5" customHeight="1" x14ac:dyDescent="0.25">
      <c r="A426" s="8">
        <v>46198</v>
      </c>
      <c r="B426" s="7" t="s">
        <v>534</v>
      </c>
      <c r="C426" s="7" t="s">
        <v>20</v>
      </c>
      <c r="D426" s="7">
        <v>500000</v>
      </c>
      <c r="E426" s="7" t="s">
        <v>50</v>
      </c>
      <c r="F426" s="7"/>
      <c r="G426" s="7" t="s">
        <v>27</v>
      </c>
      <c r="H426" s="7" t="str">
        <f t="shared" si="1"/>
        <v>junio 2026</v>
      </c>
    </row>
    <row r="427" spans="1:8" ht="22.5" customHeight="1" x14ac:dyDescent="0.25">
      <c r="A427" s="8">
        <v>46201</v>
      </c>
      <c r="B427" s="7" t="s">
        <v>535</v>
      </c>
      <c r="C427" s="7" t="s">
        <v>41</v>
      </c>
      <c r="D427" s="7">
        <v>10000</v>
      </c>
      <c r="E427" s="7" t="s">
        <v>31</v>
      </c>
      <c r="F427" s="7" t="s">
        <v>27</v>
      </c>
      <c r="G427" s="7"/>
      <c r="H427" s="7" t="str">
        <f t="shared" si="1"/>
        <v>junio 2026</v>
      </c>
    </row>
    <row r="428" spans="1:8" ht="22.5" customHeight="1" x14ac:dyDescent="0.25">
      <c r="A428" s="8">
        <v>46201</v>
      </c>
      <c r="B428" s="7" t="s">
        <v>536</v>
      </c>
      <c r="C428" s="7" t="s">
        <v>41</v>
      </c>
      <c r="D428" s="7">
        <v>12000</v>
      </c>
      <c r="E428" s="7" t="s">
        <v>31</v>
      </c>
      <c r="F428" s="7" t="s">
        <v>418</v>
      </c>
      <c r="G428" s="7"/>
      <c r="H428" s="7" t="str">
        <f t="shared" si="1"/>
        <v>junio 2026</v>
      </c>
    </row>
    <row r="429" spans="1:8" ht="22.5" customHeight="1" x14ac:dyDescent="0.25">
      <c r="A429" s="8">
        <v>46201</v>
      </c>
      <c r="B429" s="7" t="s">
        <v>537</v>
      </c>
      <c r="C429" s="7" t="s">
        <v>41</v>
      </c>
      <c r="D429" s="7">
        <v>6000</v>
      </c>
      <c r="E429" s="7" t="s">
        <v>31</v>
      </c>
      <c r="F429" s="7" t="s">
        <v>418</v>
      </c>
      <c r="G429" s="7"/>
      <c r="H429" s="7" t="str">
        <f t="shared" si="1"/>
        <v>junio 2026</v>
      </c>
    </row>
    <row r="430" spans="1:8" ht="22.5" customHeight="1" x14ac:dyDescent="0.25">
      <c r="A430" s="8">
        <v>46201</v>
      </c>
      <c r="B430" s="7" t="s">
        <v>354</v>
      </c>
      <c r="C430" s="7" t="s">
        <v>354</v>
      </c>
      <c r="D430" s="7">
        <v>20000</v>
      </c>
      <c r="E430" s="7" t="s">
        <v>391</v>
      </c>
      <c r="F430" s="7" t="s">
        <v>418</v>
      </c>
      <c r="G430" s="7" t="s">
        <v>27</v>
      </c>
      <c r="H430" s="7" t="str">
        <f t="shared" si="1"/>
        <v>junio 2026</v>
      </c>
    </row>
    <row r="431" spans="1:8" ht="22.5" customHeight="1" x14ac:dyDescent="0.25">
      <c r="A431" s="8">
        <v>46204</v>
      </c>
      <c r="B431" s="7" t="s">
        <v>538</v>
      </c>
      <c r="C431" s="7" t="s">
        <v>41</v>
      </c>
      <c r="D431" s="7">
        <v>212000</v>
      </c>
      <c r="E431" s="7" t="s">
        <v>84</v>
      </c>
      <c r="F431" s="7" t="s">
        <v>27</v>
      </c>
      <c r="G431" s="7"/>
      <c r="H431" s="7" t="str">
        <f t="shared" si="1"/>
        <v>julio 2026</v>
      </c>
    </row>
    <row r="432" spans="1:8" ht="22.5" customHeight="1" x14ac:dyDescent="0.25">
      <c r="A432" s="8">
        <v>46204</v>
      </c>
      <c r="B432" s="7" t="s">
        <v>539</v>
      </c>
      <c r="C432" s="7" t="s">
        <v>41</v>
      </c>
      <c r="D432" s="7">
        <v>24000</v>
      </c>
      <c r="E432" s="7" t="s">
        <v>58</v>
      </c>
      <c r="F432" s="7" t="s">
        <v>27</v>
      </c>
      <c r="G432" s="7"/>
      <c r="H432" s="7" t="str">
        <f t="shared" si="1"/>
        <v>julio 2026</v>
      </c>
    </row>
    <row r="433" spans="1:8" ht="22.5" customHeight="1" x14ac:dyDescent="0.25">
      <c r="A433" s="8">
        <v>46204</v>
      </c>
      <c r="B433" s="7" t="s">
        <v>540</v>
      </c>
      <c r="C433" s="7" t="s">
        <v>41</v>
      </c>
      <c r="D433" s="7">
        <v>26000</v>
      </c>
      <c r="E433" s="7" t="s">
        <v>187</v>
      </c>
      <c r="F433" s="7" t="s">
        <v>27</v>
      </c>
      <c r="G433" s="7"/>
      <c r="H433" s="7" t="str">
        <f t="shared" si="1"/>
        <v>julio 2026</v>
      </c>
    </row>
    <row r="434" spans="1:8" ht="22.5" customHeight="1" x14ac:dyDescent="0.25">
      <c r="A434" s="8">
        <v>46204</v>
      </c>
      <c r="B434" s="7" t="s">
        <v>479</v>
      </c>
      <c r="C434" s="7" t="s">
        <v>41</v>
      </c>
      <c r="D434" s="7">
        <v>30000</v>
      </c>
      <c r="E434" s="7" t="s">
        <v>58</v>
      </c>
      <c r="F434" s="7" t="s">
        <v>27</v>
      </c>
      <c r="G434" s="7"/>
      <c r="H434" s="7" t="str">
        <f t="shared" si="1"/>
        <v>julio 2026</v>
      </c>
    </row>
    <row r="435" spans="1:8" ht="22.5" customHeight="1" x14ac:dyDescent="0.25">
      <c r="A435" s="8">
        <v>46204</v>
      </c>
      <c r="B435" s="7" t="s">
        <v>541</v>
      </c>
      <c r="C435" s="7" t="s">
        <v>20</v>
      </c>
      <c r="D435" s="7">
        <v>390000</v>
      </c>
      <c r="E435" s="7" t="s">
        <v>542</v>
      </c>
      <c r="F435" s="7"/>
      <c r="G435" s="7" t="s">
        <v>418</v>
      </c>
      <c r="H435" s="7" t="str">
        <f t="shared" si="1"/>
        <v>julio 2026</v>
      </c>
    </row>
    <row r="436" spans="1:8" ht="22.5" customHeight="1" x14ac:dyDescent="0.25">
      <c r="A436" s="8">
        <v>46204</v>
      </c>
      <c r="B436" s="7" t="s">
        <v>543</v>
      </c>
      <c r="C436" s="7" t="s">
        <v>354</v>
      </c>
      <c r="D436" s="7">
        <v>40000</v>
      </c>
      <c r="E436" s="7" t="s">
        <v>391</v>
      </c>
      <c r="F436" s="7" t="s">
        <v>418</v>
      </c>
      <c r="G436" s="7" t="s">
        <v>27</v>
      </c>
      <c r="H436" s="7" t="str">
        <f t="shared" si="1"/>
        <v>julio 2026</v>
      </c>
    </row>
    <row r="437" spans="1:8" ht="22.5" customHeight="1" x14ac:dyDescent="0.25">
      <c r="A437" s="8">
        <v>46204</v>
      </c>
      <c r="B437" s="7" t="s">
        <v>544</v>
      </c>
      <c r="C437" s="7" t="s">
        <v>41</v>
      </c>
      <c r="D437" s="7">
        <v>10000</v>
      </c>
      <c r="E437" s="7" t="s">
        <v>31</v>
      </c>
      <c r="F437" s="7" t="s">
        <v>418</v>
      </c>
      <c r="G437" s="7"/>
      <c r="H437" s="7" t="str">
        <f t="shared" si="1"/>
        <v>julio 2026</v>
      </c>
    </row>
    <row r="438" spans="1:8" ht="22.5" customHeight="1" x14ac:dyDescent="0.25">
      <c r="A438" s="8">
        <v>46204</v>
      </c>
      <c r="B438" s="7" t="s">
        <v>545</v>
      </c>
      <c r="C438" s="7" t="s">
        <v>41</v>
      </c>
      <c r="D438" s="7">
        <v>62000</v>
      </c>
      <c r="E438" s="7" t="s">
        <v>180</v>
      </c>
      <c r="F438" s="7" t="s">
        <v>418</v>
      </c>
      <c r="G438" s="7"/>
      <c r="H438" s="7" t="str">
        <f t="shared" si="1"/>
        <v>julio 2026</v>
      </c>
    </row>
    <row r="439" spans="1:8" ht="22.5" customHeight="1" x14ac:dyDescent="0.25">
      <c r="A439" s="8">
        <v>46205</v>
      </c>
      <c r="B439" s="7" t="s">
        <v>546</v>
      </c>
      <c r="C439" s="7" t="s">
        <v>20</v>
      </c>
      <c r="D439" s="7">
        <v>1290000</v>
      </c>
      <c r="E439" s="7" t="s">
        <v>50</v>
      </c>
      <c r="F439" s="7"/>
      <c r="G439" s="7" t="s">
        <v>27</v>
      </c>
      <c r="H439" s="7" t="str">
        <f t="shared" si="1"/>
        <v>julio 2026</v>
      </c>
    </row>
    <row r="440" spans="1:8" ht="22.5" customHeight="1" x14ac:dyDescent="0.25">
      <c r="A440" s="8">
        <v>46212</v>
      </c>
      <c r="B440" s="7" t="s">
        <v>547</v>
      </c>
      <c r="C440" s="7" t="s">
        <v>20</v>
      </c>
      <c r="D440" s="7">
        <v>1144000</v>
      </c>
      <c r="E440" s="7" t="s">
        <v>50</v>
      </c>
      <c r="F440" s="7"/>
      <c r="G440" s="7" t="s">
        <v>418</v>
      </c>
      <c r="H440" s="7" t="str">
        <f t="shared" si="1"/>
        <v>julio 2026</v>
      </c>
    </row>
    <row r="441" spans="1:8" ht="22.5" customHeight="1" x14ac:dyDescent="0.25">
      <c r="A441" s="8">
        <v>46205</v>
      </c>
      <c r="B441" s="7" t="s">
        <v>548</v>
      </c>
      <c r="C441" s="7" t="s">
        <v>41</v>
      </c>
      <c r="D441" s="7">
        <v>17500</v>
      </c>
      <c r="E441" s="7" t="s">
        <v>180</v>
      </c>
      <c r="F441" s="7" t="s">
        <v>27</v>
      </c>
      <c r="G441" s="7"/>
      <c r="H441" s="7" t="str">
        <f t="shared" si="1"/>
        <v>julio 2026</v>
      </c>
    </row>
    <row r="442" spans="1:8" ht="22.5" customHeight="1" x14ac:dyDescent="0.25">
      <c r="A442" s="8">
        <v>46207</v>
      </c>
      <c r="B442" s="7" t="s">
        <v>549</v>
      </c>
      <c r="C442" s="7" t="s">
        <v>41</v>
      </c>
      <c r="D442" s="7">
        <v>20000</v>
      </c>
      <c r="E442" s="7" t="s">
        <v>180</v>
      </c>
      <c r="F442" s="7" t="s">
        <v>27</v>
      </c>
      <c r="G442" s="7"/>
      <c r="H442" s="7" t="str">
        <f t="shared" si="1"/>
        <v>julio 2026</v>
      </c>
    </row>
    <row r="443" spans="1:8" ht="22.5" customHeight="1" x14ac:dyDescent="0.25">
      <c r="A443" s="8">
        <v>46206</v>
      </c>
      <c r="B443" s="7" t="s">
        <v>550</v>
      </c>
      <c r="C443" s="7" t="s">
        <v>41</v>
      </c>
      <c r="D443" s="7">
        <v>18500</v>
      </c>
      <c r="E443" s="7" t="s">
        <v>31</v>
      </c>
      <c r="F443" s="7" t="s">
        <v>418</v>
      </c>
      <c r="G443" s="7"/>
      <c r="H443" s="7" t="str">
        <f t="shared" si="1"/>
        <v>julio 2026</v>
      </c>
    </row>
    <row r="444" spans="1:8" ht="22.5" customHeight="1" x14ac:dyDescent="0.25">
      <c r="A444" s="8">
        <v>46207</v>
      </c>
      <c r="B444" s="7" t="s">
        <v>551</v>
      </c>
      <c r="C444" s="7" t="s">
        <v>41</v>
      </c>
      <c r="D444" s="7">
        <v>36000</v>
      </c>
      <c r="E444" s="7" t="s">
        <v>31</v>
      </c>
      <c r="F444" s="7" t="s">
        <v>418</v>
      </c>
      <c r="G444" s="7"/>
      <c r="H444" s="7" t="str">
        <f t="shared" si="1"/>
        <v>julio 2026</v>
      </c>
    </row>
    <row r="445" spans="1:8" ht="22.5" customHeight="1" x14ac:dyDescent="0.25">
      <c r="A445" s="8">
        <v>46207</v>
      </c>
      <c r="B445" s="7" t="s">
        <v>552</v>
      </c>
      <c r="C445" s="7" t="s">
        <v>41</v>
      </c>
      <c r="D445" s="7">
        <v>35000</v>
      </c>
      <c r="E445" s="7" t="s">
        <v>187</v>
      </c>
      <c r="F445" s="7" t="s">
        <v>553</v>
      </c>
      <c r="G445" s="7"/>
      <c r="H445" s="7" t="str">
        <f t="shared" si="1"/>
        <v>julio 2026</v>
      </c>
    </row>
    <row r="446" spans="1:8" ht="22.5" customHeight="1" x14ac:dyDescent="0.25">
      <c r="A446" s="8">
        <v>46208</v>
      </c>
      <c r="B446" s="7" t="s">
        <v>354</v>
      </c>
      <c r="C446" s="7" t="s">
        <v>354</v>
      </c>
      <c r="D446" s="7">
        <v>2000000</v>
      </c>
      <c r="E446" s="7" t="s">
        <v>391</v>
      </c>
      <c r="F446" s="7" t="s">
        <v>418</v>
      </c>
      <c r="G446" s="7" t="s">
        <v>27</v>
      </c>
      <c r="H446" s="7" t="str">
        <f t="shared" si="1"/>
        <v>julio 2026</v>
      </c>
    </row>
    <row r="447" spans="1:8" ht="22.5" customHeight="1" x14ac:dyDescent="0.25">
      <c r="A447" s="8">
        <v>46208</v>
      </c>
      <c r="B447" s="7" t="s">
        <v>554</v>
      </c>
      <c r="C447" s="7" t="s">
        <v>41</v>
      </c>
      <c r="D447" s="7">
        <v>80000</v>
      </c>
      <c r="E447" s="7" t="s">
        <v>76</v>
      </c>
      <c r="F447" s="7" t="s">
        <v>27</v>
      </c>
      <c r="G447" s="7"/>
      <c r="H447" s="7" t="str">
        <f t="shared" si="1"/>
        <v>julio 2026</v>
      </c>
    </row>
    <row r="448" spans="1:8" ht="22.5" customHeight="1" x14ac:dyDescent="0.25">
      <c r="A448" s="8">
        <v>46208</v>
      </c>
      <c r="B448" s="7" t="s">
        <v>505</v>
      </c>
      <c r="C448" s="7" t="s">
        <v>41</v>
      </c>
      <c r="D448" s="7">
        <v>1700</v>
      </c>
      <c r="E448" s="7" t="s">
        <v>31</v>
      </c>
      <c r="F448" s="7" t="s">
        <v>27</v>
      </c>
      <c r="G448" s="7"/>
      <c r="H448" s="7" t="str">
        <f t="shared" si="1"/>
        <v>julio 2026</v>
      </c>
    </row>
    <row r="449" spans="1:8" ht="22.5" customHeight="1" x14ac:dyDescent="0.25">
      <c r="A449" s="8">
        <v>46208</v>
      </c>
      <c r="B449" s="7" t="s">
        <v>555</v>
      </c>
      <c r="C449" s="7" t="s">
        <v>41</v>
      </c>
      <c r="D449" s="7">
        <v>6000</v>
      </c>
      <c r="E449" s="7" t="s">
        <v>31</v>
      </c>
      <c r="F449" s="7" t="s">
        <v>418</v>
      </c>
      <c r="G449" s="7"/>
      <c r="H449" s="7" t="str">
        <f t="shared" si="1"/>
        <v>julio 2026</v>
      </c>
    </row>
    <row r="450" spans="1:8" ht="22.5" customHeight="1" x14ac:dyDescent="0.25">
      <c r="A450" s="8">
        <v>46211</v>
      </c>
      <c r="B450" s="7" t="s">
        <v>401</v>
      </c>
      <c r="C450" s="7" t="s">
        <v>41</v>
      </c>
      <c r="D450" s="7">
        <v>17500</v>
      </c>
      <c r="E450" s="7" t="s">
        <v>31</v>
      </c>
      <c r="F450" s="7" t="s">
        <v>418</v>
      </c>
      <c r="G450" s="7"/>
      <c r="H450" s="7" t="str">
        <f t="shared" si="1"/>
        <v>julio 2026</v>
      </c>
    </row>
    <row r="451" spans="1:8" ht="22.5" customHeight="1" x14ac:dyDescent="0.25">
      <c r="A451" s="8">
        <v>46211</v>
      </c>
      <c r="B451" s="7" t="s">
        <v>190</v>
      </c>
      <c r="C451" s="7" t="s">
        <v>20</v>
      </c>
      <c r="D451" s="7">
        <v>1159934</v>
      </c>
      <c r="E451" s="7" t="s">
        <v>0</v>
      </c>
      <c r="F451" s="7"/>
      <c r="G451" s="7" t="s">
        <v>389</v>
      </c>
      <c r="H451" s="7" t="str">
        <f t="shared" si="1"/>
        <v>julio 2026</v>
      </c>
    </row>
    <row r="452" spans="1:8" ht="22.5" customHeight="1" x14ac:dyDescent="0.25">
      <c r="A452" s="8">
        <v>46211</v>
      </c>
      <c r="B452" s="7" t="s">
        <v>0</v>
      </c>
      <c r="C452" s="7" t="s">
        <v>20</v>
      </c>
      <c r="D452" s="7">
        <v>2388442</v>
      </c>
      <c r="E452" s="7" t="s">
        <v>0</v>
      </c>
      <c r="F452" s="7"/>
      <c r="G452" s="7" t="s">
        <v>389</v>
      </c>
      <c r="H452" s="7" t="str">
        <f t="shared" si="1"/>
        <v>julio 2026</v>
      </c>
    </row>
    <row r="453" spans="1:8" ht="22.5" customHeight="1" x14ac:dyDescent="0.25">
      <c r="A453" s="8">
        <v>46211</v>
      </c>
      <c r="B453" s="7" t="s">
        <v>556</v>
      </c>
      <c r="C453" s="7" t="s">
        <v>354</v>
      </c>
      <c r="D453" s="7">
        <v>100000</v>
      </c>
      <c r="E453" s="7" t="s">
        <v>391</v>
      </c>
      <c r="F453" s="7" t="s">
        <v>389</v>
      </c>
      <c r="G453" s="7" t="s">
        <v>27</v>
      </c>
      <c r="H453" s="7" t="str">
        <f t="shared" si="1"/>
        <v>julio 2026</v>
      </c>
    </row>
    <row r="454" spans="1:8" ht="22.5" customHeight="1" x14ac:dyDescent="0.25">
      <c r="A454" s="8">
        <v>46211</v>
      </c>
      <c r="B454" s="7" t="s">
        <v>557</v>
      </c>
      <c r="C454" s="7" t="s">
        <v>41</v>
      </c>
      <c r="D454" s="7">
        <v>567000</v>
      </c>
      <c r="E454" s="7" t="s">
        <v>187</v>
      </c>
      <c r="F454" s="7" t="s">
        <v>27</v>
      </c>
      <c r="G454" s="7"/>
      <c r="H454" s="7" t="str">
        <f t="shared" si="1"/>
        <v>julio 2026</v>
      </c>
    </row>
    <row r="455" spans="1:8" ht="22.5" customHeight="1" x14ac:dyDescent="0.25">
      <c r="A455" s="8">
        <v>46212</v>
      </c>
      <c r="B455" s="7" t="s">
        <v>558</v>
      </c>
      <c r="C455" s="7" t="s">
        <v>354</v>
      </c>
      <c r="D455" s="7">
        <v>42000</v>
      </c>
      <c r="E455" s="7" t="s">
        <v>391</v>
      </c>
      <c r="F455" s="7" t="s">
        <v>389</v>
      </c>
      <c r="G455" s="7" t="s">
        <v>418</v>
      </c>
      <c r="H455" s="7" t="str">
        <f t="shared" si="1"/>
        <v>julio 2026</v>
      </c>
    </row>
    <row r="456" spans="1:8" ht="22.5" customHeight="1" x14ac:dyDescent="0.25">
      <c r="A456" s="8">
        <v>46212</v>
      </c>
      <c r="B456" s="7" t="s">
        <v>559</v>
      </c>
      <c r="C456" s="7" t="s">
        <v>354</v>
      </c>
      <c r="D456" s="7">
        <v>90000</v>
      </c>
      <c r="E456" s="7" t="s">
        <v>391</v>
      </c>
      <c r="F456" s="7" t="s">
        <v>27</v>
      </c>
      <c r="G456" s="7" t="s">
        <v>418</v>
      </c>
      <c r="H456" s="7" t="str">
        <f t="shared" si="1"/>
        <v>julio 2026</v>
      </c>
    </row>
    <row r="457" spans="1:8" ht="22.5" customHeight="1" x14ac:dyDescent="0.25">
      <c r="A457" s="8">
        <v>46212</v>
      </c>
      <c r="B457" s="7" t="s">
        <v>560</v>
      </c>
      <c r="C457" s="7" t="s">
        <v>41</v>
      </c>
      <c r="D457" s="7">
        <v>50000</v>
      </c>
      <c r="E457" s="7" t="s">
        <v>180</v>
      </c>
      <c r="F457" s="7" t="s">
        <v>389</v>
      </c>
      <c r="G457" s="7"/>
      <c r="H457" s="7" t="str">
        <f t="shared" si="1"/>
        <v>julio 2026</v>
      </c>
    </row>
    <row r="458" spans="1:8" ht="22.5" customHeight="1" x14ac:dyDescent="0.25">
      <c r="A458" s="8">
        <v>46212</v>
      </c>
      <c r="B458" s="7" t="s">
        <v>561</v>
      </c>
      <c r="C458" s="7" t="s">
        <v>41</v>
      </c>
      <c r="D458" s="7">
        <v>735000</v>
      </c>
      <c r="E458" s="7" t="s">
        <v>50</v>
      </c>
      <c r="F458" s="7" t="s">
        <v>418</v>
      </c>
      <c r="G458" s="7"/>
      <c r="H458" s="7" t="str">
        <f t="shared" si="1"/>
        <v>julio 2026</v>
      </c>
    </row>
    <row r="459" spans="1:8" ht="22.5" customHeight="1" x14ac:dyDescent="0.25">
      <c r="A459" s="8">
        <v>46212</v>
      </c>
      <c r="B459" s="7" t="s">
        <v>562</v>
      </c>
      <c r="C459" s="7" t="s">
        <v>41</v>
      </c>
      <c r="D459" s="7">
        <v>100000</v>
      </c>
      <c r="E459" s="7" t="s">
        <v>145</v>
      </c>
      <c r="F459" s="7" t="s">
        <v>418</v>
      </c>
      <c r="G459" s="7"/>
      <c r="H459" s="7" t="str">
        <f t="shared" si="1"/>
        <v>julio 2026</v>
      </c>
    </row>
    <row r="460" spans="1:8" ht="22.5" customHeight="1" x14ac:dyDescent="0.25">
      <c r="A460" s="8">
        <v>46212</v>
      </c>
      <c r="B460" s="7" t="s">
        <v>563</v>
      </c>
      <c r="C460" s="7" t="s">
        <v>41</v>
      </c>
      <c r="D460" s="7">
        <v>18000</v>
      </c>
      <c r="E460" s="7" t="s">
        <v>76</v>
      </c>
      <c r="F460" s="7" t="s">
        <v>418</v>
      </c>
      <c r="G460" s="7"/>
      <c r="H460" s="7" t="str">
        <f t="shared" si="1"/>
        <v>julio 2026</v>
      </c>
    </row>
    <row r="461" spans="1:8" ht="22.5" customHeight="1" x14ac:dyDescent="0.25">
      <c r="A461" s="8">
        <v>46213</v>
      </c>
      <c r="B461" s="7" t="s">
        <v>564</v>
      </c>
      <c r="C461" s="7" t="s">
        <v>41</v>
      </c>
      <c r="D461" s="7">
        <v>29000</v>
      </c>
      <c r="E461" s="7" t="s">
        <v>31</v>
      </c>
      <c r="F461" s="7" t="s">
        <v>418</v>
      </c>
      <c r="G461" s="7"/>
      <c r="H461" s="7" t="str">
        <f t="shared" si="1"/>
        <v>julio 2026</v>
      </c>
    </row>
    <row r="462" spans="1:8" ht="22.5" customHeight="1" x14ac:dyDescent="0.25">
      <c r="A462" s="8">
        <v>46213</v>
      </c>
      <c r="B462" s="7" t="s">
        <v>565</v>
      </c>
      <c r="C462" s="7" t="s">
        <v>41</v>
      </c>
      <c r="D462" s="7">
        <v>154000</v>
      </c>
      <c r="E462" s="7" t="s">
        <v>113</v>
      </c>
      <c r="F462" s="7" t="s">
        <v>418</v>
      </c>
      <c r="G462" s="7"/>
      <c r="H462" s="7" t="str">
        <f t="shared" si="1"/>
        <v>julio 2026</v>
      </c>
    </row>
    <row r="463" spans="1:8" ht="22.5" customHeight="1" x14ac:dyDescent="0.25">
      <c r="A463" s="8">
        <v>46213</v>
      </c>
      <c r="B463" s="7" t="s">
        <v>566</v>
      </c>
      <c r="C463" s="7" t="s">
        <v>354</v>
      </c>
      <c r="D463" s="7">
        <v>3048317</v>
      </c>
      <c r="E463" s="7" t="s">
        <v>391</v>
      </c>
      <c r="F463" s="7" t="s">
        <v>389</v>
      </c>
      <c r="G463" s="7" t="s">
        <v>27</v>
      </c>
      <c r="H463" s="7" t="str">
        <f t="shared" si="1"/>
        <v>julio 2026</v>
      </c>
    </row>
    <row r="464" spans="1:8" ht="22.5" customHeight="1" x14ac:dyDescent="0.25">
      <c r="A464" s="8">
        <v>46213</v>
      </c>
      <c r="B464" s="7" t="s">
        <v>567</v>
      </c>
      <c r="C464" s="7" t="s">
        <v>354</v>
      </c>
      <c r="D464" s="7">
        <v>300000</v>
      </c>
      <c r="E464" s="7" t="s">
        <v>568</v>
      </c>
      <c r="F464" s="7" t="s">
        <v>389</v>
      </c>
      <c r="G464" s="7" t="s">
        <v>569</v>
      </c>
      <c r="H464" s="7" t="str">
        <f t="shared" si="1"/>
        <v>julio 2026</v>
      </c>
    </row>
    <row r="465" spans="1:8" ht="22.5" customHeight="1" x14ac:dyDescent="0.25">
      <c r="A465" s="8">
        <v>46213</v>
      </c>
      <c r="B465" s="7" t="s">
        <v>570</v>
      </c>
      <c r="C465" s="7" t="s">
        <v>41</v>
      </c>
      <c r="D465" s="7">
        <v>9059</v>
      </c>
      <c r="E465" s="7" t="s">
        <v>31</v>
      </c>
      <c r="F465" s="7" t="s">
        <v>389</v>
      </c>
      <c r="G465" s="7"/>
      <c r="H465" s="7" t="str">
        <f t="shared" si="1"/>
        <v>julio 2026</v>
      </c>
    </row>
    <row r="466" spans="1:8" ht="22.5" customHeight="1" x14ac:dyDescent="0.25">
      <c r="A466" s="8">
        <v>46214</v>
      </c>
      <c r="B466" s="7" t="s">
        <v>120</v>
      </c>
      <c r="C466" s="7" t="s">
        <v>20</v>
      </c>
      <c r="D466" s="7">
        <v>201000</v>
      </c>
      <c r="E466" s="7" t="s">
        <v>120</v>
      </c>
      <c r="F466" s="7"/>
      <c r="G466" s="7" t="s">
        <v>27</v>
      </c>
      <c r="H466" s="7" t="str">
        <f t="shared" si="1"/>
        <v>julio 2026</v>
      </c>
    </row>
    <row r="467" spans="1:8" ht="22.5" customHeight="1" x14ac:dyDescent="0.25">
      <c r="A467" s="8">
        <v>46214</v>
      </c>
      <c r="B467" s="7" t="s">
        <v>571</v>
      </c>
      <c r="C467" s="7" t="s">
        <v>41</v>
      </c>
      <c r="D467" s="7">
        <v>435000</v>
      </c>
      <c r="E467" s="7" t="s">
        <v>50</v>
      </c>
      <c r="F467" s="7" t="s">
        <v>27</v>
      </c>
      <c r="G467" s="7"/>
      <c r="H467" s="7" t="str">
        <f t="shared" si="1"/>
        <v>julio 2026</v>
      </c>
    </row>
    <row r="468" spans="1:8" ht="22.5" customHeight="1" x14ac:dyDescent="0.25">
      <c r="A468" s="8">
        <v>46214</v>
      </c>
      <c r="B468" s="7" t="s">
        <v>108</v>
      </c>
      <c r="C468" s="7" t="s">
        <v>354</v>
      </c>
      <c r="D468" s="7">
        <v>230000</v>
      </c>
      <c r="E468" s="7" t="s">
        <v>391</v>
      </c>
      <c r="F468" s="7" t="s">
        <v>27</v>
      </c>
      <c r="G468" s="7" t="s">
        <v>418</v>
      </c>
      <c r="H468" s="7" t="str">
        <f t="shared" si="1"/>
        <v>julio 2026</v>
      </c>
    </row>
    <row r="469" spans="1:8" ht="22.5" customHeight="1" x14ac:dyDescent="0.25">
      <c r="A469" s="8">
        <v>46214</v>
      </c>
      <c r="B469" s="7" t="s">
        <v>572</v>
      </c>
      <c r="C469" s="7" t="s">
        <v>354</v>
      </c>
      <c r="D469" s="7">
        <v>20000</v>
      </c>
      <c r="E469" s="7" t="s">
        <v>275</v>
      </c>
      <c r="F469" s="7" t="s">
        <v>413</v>
      </c>
      <c r="G469" s="7" t="s">
        <v>418</v>
      </c>
      <c r="H469" s="7" t="str">
        <f t="shared" si="1"/>
        <v>julio 2026</v>
      </c>
    </row>
    <row r="470" spans="1:8" ht="22.5" customHeight="1" x14ac:dyDescent="0.25">
      <c r="A470" s="8">
        <v>46216</v>
      </c>
      <c r="B470" s="7" t="s">
        <v>573</v>
      </c>
      <c r="C470" s="7" t="s">
        <v>41</v>
      </c>
      <c r="D470" s="7">
        <v>181700</v>
      </c>
      <c r="E470" s="7" t="s">
        <v>58</v>
      </c>
      <c r="F470" s="7" t="s">
        <v>27</v>
      </c>
      <c r="G470" s="7"/>
      <c r="H470" s="7" t="str">
        <f t="shared" si="1"/>
        <v>julio 2026</v>
      </c>
    </row>
    <row r="471" spans="1:8" ht="22.5" customHeight="1" x14ac:dyDescent="0.25">
      <c r="A471" s="8">
        <v>46216</v>
      </c>
      <c r="B471" s="7" t="s">
        <v>574</v>
      </c>
      <c r="C471" s="7" t="s">
        <v>20</v>
      </c>
      <c r="D471" s="7">
        <v>12000</v>
      </c>
      <c r="E471" s="7" t="s">
        <v>275</v>
      </c>
      <c r="F471" s="7"/>
      <c r="G471" s="7" t="s">
        <v>27</v>
      </c>
      <c r="H471" s="7" t="str">
        <f t="shared" si="1"/>
        <v>julio 2026</v>
      </c>
    </row>
    <row r="472" spans="1:8" ht="22.5" customHeight="1" x14ac:dyDescent="0.25">
      <c r="A472" s="8">
        <v>46219</v>
      </c>
      <c r="B472" s="7" t="s">
        <v>575</v>
      </c>
      <c r="C472" s="7" t="s">
        <v>354</v>
      </c>
      <c r="D472" s="7">
        <v>10000</v>
      </c>
      <c r="E472" s="7" t="s">
        <v>391</v>
      </c>
      <c r="F472" s="7" t="s">
        <v>418</v>
      </c>
      <c r="G472" s="7" t="s">
        <v>27</v>
      </c>
      <c r="H472" s="7" t="str">
        <f t="shared" si="1"/>
        <v>julio 2026</v>
      </c>
    </row>
    <row r="473" spans="1:8" ht="22.5" customHeight="1" x14ac:dyDescent="0.25">
      <c r="A473" s="8">
        <v>46219</v>
      </c>
      <c r="B473" s="7" t="s">
        <v>576</v>
      </c>
      <c r="C473" s="7" t="s">
        <v>354</v>
      </c>
      <c r="D473" s="7">
        <v>57000</v>
      </c>
      <c r="E473" s="7" t="s">
        <v>391</v>
      </c>
      <c r="F473" s="7" t="s">
        <v>418</v>
      </c>
      <c r="G473" s="7" t="s">
        <v>27</v>
      </c>
      <c r="H473" s="7" t="str">
        <f t="shared" si="1"/>
        <v>julio 2026</v>
      </c>
    </row>
    <row r="474" spans="1:8" ht="22.5" customHeight="1" x14ac:dyDescent="0.25">
      <c r="A474" s="8">
        <v>46219</v>
      </c>
      <c r="B474" s="7" t="s">
        <v>577</v>
      </c>
      <c r="C474" s="7" t="s">
        <v>41</v>
      </c>
      <c r="D474" s="7">
        <v>3000</v>
      </c>
      <c r="E474" s="7" t="s">
        <v>31</v>
      </c>
      <c r="F474" s="7" t="s">
        <v>418</v>
      </c>
      <c r="G474" s="7"/>
      <c r="H474" s="7" t="str">
        <f t="shared" si="1"/>
        <v>julio 2026</v>
      </c>
    </row>
    <row r="475" spans="1:8" ht="22.5" customHeight="1" x14ac:dyDescent="0.25">
      <c r="A475" s="8">
        <v>46225</v>
      </c>
      <c r="B475" s="7" t="s">
        <v>578</v>
      </c>
      <c r="C475" s="7" t="s">
        <v>354</v>
      </c>
      <c r="D475" s="7">
        <v>50000</v>
      </c>
      <c r="E475" s="7" t="s">
        <v>391</v>
      </c>
      <c r="F475" s="7" t="s">
        <v>418</v>
      </c>
      <c r="G475" s="7" t="s">
        <v>489</v>
      </c>
      <c r="H475" s="7" t="str">
        <f t="shared" si="1"/>
        <v>julio 2026</v>
      </c>
    </row>
    <row r="476" spans="1:8" ht="22.5" customHeight="1" x14ac:dyDescent="0.25">
      <c r="A476" s="8">
        <v>46226</v>
      </c>
      <c r="B476" s="7" t="s">
        <v>579</v>
      </c>
      <c r="C476" s="7" t="s">
        <v>41</v>
      </c>
      <c r="D476" s="7">
        <v>42000</v>
      </c>
      <c r="E476" s="7" t="s">
        <v>58</v>
      </c>
      <c r="F476" s="7" t="s">
        <v>27</v>
      </c>
      <c r="G476" s="7"/>
      <c r="H476" s="7" t="str">
        <f t="shared" si="1"/>
        <v>julio 2026</v>
      </c>
    </row>
    <row r="477" spans="1:8" ht="22.5" customHeight="1" x14ac:dyDescent="0.25">
      <c r="A477" s="8">
        <v>46232</v>
      </c>
      <c r="B477" s="7" t="s">
        <v>580</v>
      </c>
      <c r="C477" s="7" t="s">
        <v>41</v>
      </c>
      <c r="D477" s="7">
        <v>43171</v>
      </c>
      <c r="E477" s="7" t="s">
        <v>31</v>
      </c>
      <c r="F477" s="7" t="s">
        <v>27</v>
      </c>
      <c r="G477" s="7"/>
      <c r="H477" s="7" t="str">
        <f t="shared" si="1"/>
        <v>julio 2026</v>
      </c>
    </row>
    <row r="478" spans="1:8" ht="22.5" customHeight="1" x14ac:dyDescent="0.25">
      <c r="A478" s="8">
        <v>46232</v>
      </c>
      <c r="B478" s="7" t="s">
        <v>581</v>
      </c>
      <c r="C478" s="7" t="s">
        <v>41</v>
      </c>
      <c r="D478" s="7">
        <v>25000</v>
      </c>
      <c r="E478" s="7" t="s">
        <v>31</v>
      </c>
      <c r="F478" s="7" t="s">
        <v>489</v>
      </c>
      <c r="G478" s="7"/>
      <c r="H478" s="7" t="str">
        <f t="shared" si="1"/>
        <v>julio 2026</v>
      </c>
    </row>
    <row r="479" spans="1:8" ht="22.5" customHeight="1" x14ac:dyDescent="0.25">
      <c r="A479" s="8">
        <v>46232</v>
      </c>
      <c r="B479" s="7" t="s">
        <v>582</v>
      </c>
      <c r="C479" s="7" t="s">
        <v>41</v>
      </c>
      <c r="D479" s="7">
        <v>45000</v>
      </c>
      <c r="E479" s="7" t="s">
        <v>31</v>
      </c>
      <c r="F479" s="7" t="s">
        <v>418</v>
      </c>
      <c r="G479" s="7"/>
      <c r="H479" s="7" t="str">
        <f t="shared" si="1"/>
        <v>julio 2026</v>
      </c>
    </row>
    <row r="480" spans="1:8" ht="22.5" customHeight="1" x14ac:dyDescent="0.25">
      <c r="A480" s="8">
        <v>46233</v>
      </c>
      <c r="B480" s="7" t="s">
        <v>488</v>
      </c>
      <c r="C480" s="7" t="s">
        <v>41</v>
      </c>
      <c r="D480" s="7">
        <v>2800</v>
      </c>
      <c r="E480" s="7" t="s">
        <v>31</v>
      </c>
      <c r="F480" s="7" t="s">
        <v>27</v>
      </c>
      <c r="G480" s="7"/>
      <c r="H480" s="7" t="str">
        <f t="shared" si="1"/>
        <v>julio 2026</v>
      </c>
    </row>
    <row r="481" spans="1:8" ht="22.5" customHeight="1" x14ac:dyDescent="0.25">
      <c r="A481" s="8">
        <v>46235</v>
      </c>
      <c r="B481" s="7" t="s">
        <v>433</v>
      </c>
      <c r="C481" s="7" t="s">
        <v>41</v>
      </c>
      <c r="D481" s="7">
        <v>80000</v>
      </c>
      <c r="E481" s="7" t="s">
        <v>76</v>
      </c>
      <c r="F481" s="7" t="s">
        <v>418</v>
      </c>
      <c r="G481" s="7"/>
      <c r="H481" s="7" t="str">
        <f t="shared" si="1"/>
        <v>agosto 2026</v>
      </c>
    </row>
    <row r="482" spans="1:8" ht="22.5" customHeight="1" x14ac:dyDescent="0.25">
      <c r="A482" s="8">
        <v>46235</v>
      </c>
      <c r="B482" s="7" t="s">
        <v>583</v>
      </c>
      <c r="C482" s="7" t="s">
        <v>41</v>
      </c>
      <c r="D482" s="7">
        <v>105000</v>
      </c>
      <c r="E482" s="7" t="s">
        <v>31</v>
      </c>
      <c r="F482" s="7" t="s">
        <v>418</v>
      </c>
      <c r="G482" s="7"/>
      <c r="H482" s="7" t="str">
        <f t="shared" si="1"/>
        <v>agosto 2026</v>
      </c>
    </row>
    <row r="483" spans="1:8" ht="22.5" customHeight="1" x14ac:dyDescent="0.25">
      <c r="A483" s="8">
        <v>46235</v>
      </c>
      <c r="B483" s="7" t="s">
        <v>584</v>
      </c>
      <c r="C483" s="7" t="s">
        <v>41</v>
      </c>
      <c r="D483" s="7">
        <v>120000</v>
      </c>
      <c r="E483" s="7" t="s">
        <v>50</v>
      </c>
      <c r="F483" s="7" t="s">
        <v>418</v>
      </c>
      <c r="G483" s="7"/>
      <c r="H483" s="7" t="str">
        <f t="shared" si="1"/>
        <v>agosto 2026</v>
      </c>
    </row>
    <row r="484" spans="1:8" ht="22.5" customHeight="1" x14ac:dyDescent="0.25">
      <c r="A484" s="8">
        <v>46235</v>
      </c>
      <c r="B484" s="7" t="s">
        <v>585</v>
      </c>
      <c r="C484" s="7" t="s">
        <v>354</v>
      </c>
      <c r="D484" s="7">
        <v>60000</v>
      </c>
      <c r="E484" s="7" t="s">
        <v>391</v>
      </c>
      <c r="F484" s="7" t="s">
        <v>418</v>
      </c>
      <c r="G484" s="7" t="s">
        <v>27</v>
      </c>
      <c r="H484" s="7" t="str">
        <f t="shared" si="1"/>
        <v>agosto 2026</v>
      </c>
    </row>
    <row r="485" spans="1:8" ht="22.5" customHeight="1" x14ac:dyDescent="0.25">
      <c r="A485" s="8">
        <v>46235</v>
      </c>
      <c r="B485" s="7" t="s">
        <v>540</v>
      </c>
      <c r="C485" s="7" t="s">
        <v>41</v>
      </c>
      <c r="D485" s="7">
        <v>26000</v>
      </c>
      <c r="E485" s="7" t="s">
        <v>187</v>
      </c>
      <c r="F485" s="7" t="s">
        <v>27</v>
      </c>
      <c r="G485" s="7"/>
      <c r="H485" s="7" t="str">
        <f t="shared" si="1"/>
        <v>agosto 2026</v>
      </c>
    </row>
    <row r="486" spans="1:8" ht="22.5" customHeight="1" x14ac:dyDescent="0.25">
      <c r="A486" s="8">
        <v>46236</v>
      </c>
      <c r="B486" s="7" t="s">
        <v>586</v>
      </c>
      <c r="C486" s="7" t="s">
        <v>41</v>
      </c>
      <c r="D486" s="7">
        <v>18000</v>
      </c>
      <c r="E486" s="7" t="s">
        <v>31</v>
      </c>
      <c r="F486" s="7" t="s">
        <v>418</v>
      </c>
      <c r="G486" s="7"/>
      <c r="H486" s="7" t="str">
        <f t="shared" si="1"/>
        <v>agosto 2026</v>
      </c>
    </row>
    <row r="487" spans="1:8" ht="22.5" customHeight="1" x14ac:dyDescent="0.25">
      <c r="A487" s="8">
        <v>46236</v>
      </c>
      <c r="B487" s="7" t="s">
        <v>587</v>
      </c>
      <c r="C487" s="7" t="s">
        <v>41</v>
      </c>
      <c r="D487" s="7">
        <v>22000</v>
      </c>
      <c r="E487" s="7" t="s">
        <v>31</v>
      </c>
      <c r="F487" s="7" t="s">
        <v>27</v>
      </c>
      <c r="G487" s="7"/>
      <c r="H487" s="7" t="str">
        <f t="shared" si="1"/>
        <v>agosto 2026</v>
      </c>
    </row>
    <row r="488" spans="1:8" ht="22.5" customHeight="1" x14ac:dyDescent="0.25">
      <c r="A488" s="8">
        <v>46237</v>
      </c>
      <c r="B488" s="7" t="s">
        <v>588</v>
      </c>
      <c r="C488" s="7" t="s">
        <v>354</v>
      </c>
      <c r="D488" s="7">
        <v>300000</v>
      </c>
      <c r="E488" s="7" t="s">
        <v>391</v>
      </c>
      <c r="F488" s="7" t="s">
        <v>569</v>
      </c>
      <c r="G488" s="7" t="s">
        <v>27</v>
      </c>
      <c r="H488" s="7" t="str">
        <f t="shared" si="1"/>
        <v>agosto 2026</v>
      </c>
    </row>
    <row r="489" spans="1:8" ht="22.5" customHeight="1" x14ac:dyDescent="0.25">
      <c r="A489" s="8">
        <v>46237</v>
      </c>
      <c r="B489" s="7" t="s">
        <v>589</v>
      </c>
      <c r="C489" s="7" t="s">
        <v>354</v>
      </c>
      <c r="D489" s="7">
        <v>38000</v>
      </c>
      <c r="E489" s="7" t="s">
        <v>391</v>
      </c>
      <c r="F489" s="7" t="s">
        <v>27</v>
      </c>
      <c r="G489" s="7" t="s">
        <v>389</v>
      </c>
      <c r="H489" s="7" t="str">
        <f t="shared" si="1"/>
        <v>agosto 2026</v>
      </c>
    </row>
    <row r="490" spans="1:8" ht="22.5" customHeight="1" x14ac:dyDescent="0.25">
      <c r="A490" s="8">
        <v>46237</v>
      </c>
      <c r="B490" s="7" t="s">
        <v>590</v>
      </c>
      <c r="C490" s="7" t="s">
        <v>41</v>
      </c>
      <c r="D490" s="7">
        <v>193500</v>
      </c>
      <c r="E490" s="7" t="s">
        <v>84</v>
      </c>
      <c r="F490" s="7" t="s">
        <v>27</v>
      </c>
      <c r="G490" s="7"/>
      <c r="H490" s="7" t="str">
        <f t="shared" si="1"/>
        <v>agosto 2026</v>
      </c>
    </row>
    <row r="491" spans="1:8" ht="22.5" customHeight="1" x14ac:dyDescent="0.25">
      <c r="A491" s="8">
        <v>46238</v>
      </c>
      <c r="B491" s="7" t="s">
        <v>591</v>
      </c>
      <c r="C491" s="7" t="s">
        <v>20</v>
      </c>
      <c r="D491" s="7">
        <v>223000</v>
      </c>
      <c r="E491" s="7" t="s">
        <v>542</v>
      </c>
      <c r="F491" s="7"/>
      <c r="G491" s="7" t="s">
        <v>27</v>
      </c>
      <c r="H491" s="7" t="str">
        <f t="shared" si="1"/>
        <v>agosto 2026</v>
      </c>
    </row>
    <row r="492" spans="1:8" ht="22.5" customHeight="1" x14ac:dyDescent="0.25">
      <c r="A492" s="8">
        <v>46239</v>
      </c>
      <c r="B492" s="7" t="s">
        <v>592</v>
      </c>
      <c r="C492" s="7" t="s">
        <v>41</v>
      </c>
      <c r="D492" s="7">
        <v>2000</v>
      </c>
      <c r="E492" s="7" t="s">
        <v>31</v>
      </c>
      <c r="F492" s="7" t="s">
        <v>27</v>
      </c>
      <c r="G492" s="7"/>
      <c r="H492" s="7" t="str">
        <f t="shared" si="1"/>
        <v>agosto 2026</v>
      </c>
    </row>
    <row r="493" spans="1:8" ht="22.5" customHeight="1" x14ac:dyDescent="0.25">
      <c r="A493" s="8">
        <v>46241</v>
      </c>
      <c r="B493" s="7" t="s">
        <v>593</v>
      </c>
      <c r="C493" s="7" t="s">
        <v>41</v>
      </c>
      <c r="D493" s="7">
        <v>25000</v>
      </c>
      <c r="E493" s="7" t="s">
        <v>58</v>
      </c>
      <c r="F493" s="7" t="s">
        <v>27</v>
      </c>
      <c r="G493" s="7"/>
      <c r="H493" s="7" t="str">
        <f t="shared" si="1"/>
        <v>agosto 2026</v>
      </c>
    </row>
    <row r="494" spans="1:8" ht="22.5" customHeight="1" x14ac:dyDescent="0.25">
      <c r="A494" s="8">
        <v>46243</v>
      </c>
      <c r="B494" s="7" t="s">
        <v>594</v>
      </c>
      <c r="C494" s="7" t="s">
        <v>41</v>
      </c>
      <c r="D494" s="7">
        <v>22829</v>
      </c>
      <c r="E494" s="7" t="s">
        <v>31</v>
      </c>
      <c r="F494" s="7" t="s">
        <v>27</v>
      </c>
      <c r="G494" s="7"/>
      <c r="H494" s="7" t="str">
        <f t="shared" si="1"/>
        <v>agosto 2026</v>
      </c>
    </row>
    <row r="495" spans="1:8" ht="22.5" customHeight="1" x14ac:dyDescent="0.25">
      <c r="A495" s="8">
        <v>46243</v>
      </c>
      <c r="B495" s="7" t="s">
        <v>595</v>
      </c>
      <c r="C495" s="7" t="s">
        <v>41</v>
      </c>
      <c r="D495" s="7">
        <v>23000</v>
      </c>
      <c r="E495" s="7" t="s">
        <v>31</v>
      </c>
      <c r="F495" s="7" t="s">
        <v>418</v>
      </c>
      <c r="G495" s="7"/>
      <c r="H495" s="7" t="str">
        <f t="shared" si="1"/>
        <v>agosto 2026</v>
      </c>
    </row>
    <row r="496" spans="1:8" ht="22.5" customHeight="1" x14ac:dyDescent="0.25">
      <c r="A496" s="8">
        <v>46243</v>
      </c>
      <c r="B496" s="7" t="s">
        <v>596</v>
      </c>
      <c r="C496" s="7" t="s">
        <v>41</v>
      </c>
      <c r="D496" s="7">
        <v>20000</v>
      </c>
      <c r="E496" s="7" t="s">
        <v>187</v>
      </c>
      <c r="F496" s="7" t="s">
        <v>27</v>
      </c>
      <c r="G496" s="7"/>
      <c r="H496" s="7" t="str">
        <f t="shared" si="1"/>
        <v>agosto 2026</v>
      </c>
    </row>
    <row r="497" spans="1:8" ht="22.5" customHeight="1" x14ac:dyDescent="0.25">
      <c r="A497" s="8">
        <v>46244</v>
      </c>
      <c r="B497" s="7" t="s">
        <v>0</v>
      </c>
      <c r="C497" s="7" t="s">
        <v>20</v>
      </c>
      <c r="D497" s="7">
        <v>2434000</v>
      </c>
      <c r="E497" s="7" t="s">
        <v>0</v>
      </c>
      <c r="F497" s="7"/>
      <c r="G497" s="7" t="s">
        <v>389</v>
      </c>
      <c r="H497" s="7" t="str">
        <f t="shared" si="1"/>
        <v>agosto 2026</v>
      </c>
    </row>
    <row r="498" spans="1:8" ht="22.5" customHeight="1" x14ac:dyDescent="0.25">
      <c r="A498" s="8">
        <v>46244</v>
      </c>
      <c r="B498" s="7" t="s">
        <v>597</v>
      </c>
      <c r="C498" s="7" t="s">
        <v>354</v>
      </c>
      <c r="D498" s="7">
        <v>100000</v>
      </c>
      <c r="E498" s="7" t="s">
        <v>391</v>
      </c>
      <c r="F498" s="7" t="s">
        <v>389</v>
      </c>
      <c r="G498" s="7" t="s">
        <v>27</v>
      </c>
      <c r="H498" s="7" t="str">
        <f t="shared" si="1"/>
        <v>agosto 2026</v>
      </c>
    </row>
    <row r="499" spans="1:8" ht="22.5" customHeight="1" x14ac:dyDescent="0.25">
      <c r="A499" s="8">
        <v>46244</v>
      </c>
      <c r="B499" s="7" t="s">
        <v>598</v>
      </c>
      <c r="C499" s="7" t="s">
        <v>354</v>
      </c>
      <c r="D499" s="7">
        <v>825000</v>
      </c>
      <c r="E499" s="7" t="s">
        <v>391</v>
      </c>
      <c r="F499" s="7" t="s">
        <v>389</v>
      </c>
      <c r="G499" s="7">
        <v>2027</v>
      </c>
      <c r="H499" s="7" t="str">
        <f t="shared" si="1"/>
        <v>agosto 2026</v>
      </c>
    </row>
    <row r="500" spans="1:8" ht="22.5" customHeight="1" x14ac:dyDescent="0.25">
      <c r="A500" s="8">
        <v>46244</v>
      </c>
      <c r="B500" s="7" t="s">
        <v>599</v>
      </c>
      <c r="C500" s="7" t="s">
        <v>354</v>
      </c>
      <c r="D500" s="7">
        <v>178000</v>
      </c>
      <c r="E500" s="7" t="s">
        <v>391</v>
      </c>
      <c r="F500" s="7" t="s">
        <v>27</v>
      </c>
      <c r="G500" s="7">
        <v>2027</v>
      </c>
      <c r="H500" s="7" t="str">
        <f t="shared" si="1"/>
        <v>agosto 2026</v>
      </c>
    </row>
    <row r="501" spans="1:8" ht="22.5" customHeight="1" x14ac:dyDescent="0.25">
      <c r="A501" s="8">
        <v>46244</v>
      </c>
      <c r="B501" s="7" t="s">
        <v>600</v>
      </c>
      <c r="C501" s="7" t="s">
        <v>41</v>
      </c>
      <c r="D501" s="7">
        <v>26000</v>
      </c>
      <c r="E501" s="7" t="s">
        <v>31</v>
      </c>
      <c r="F501" s="7" t="s">
        <v>27</v>
      </c>
      <c r="G501" s="7"/>
      <c r="H501" s="7" t="str">
        <f t="shared" si="1"/>
        <v>agosto 2026</v>
      </c>
    </row>
    <row r="502" spans="1:8" ht="22.5" customHeight="1" x14ac:dyDescent="0.25">
      <c r="A502" s="8">
        <v>46245</v>
      </c>
      <c r="B502" s="7" t="s">
        <v>601</v>
      </c>
      <c r="C502" s="7" t="s">
        <v>41</v>
      </c>
      <c r="D502" s="7">
        <v>11254</v>
      </c>
      <c r="E502" s="7" t="s">
        <v>58</v>
      </c>
      <c r="F502" s="7" t="s">
        <v>389</v>
      </c>
      <c r="G502" s="7"/>
      <c r="H502" s="7" t="str">
        <f t="shared" si="1"/>
        <v>agosto 2026</v>
      </c>
    </row>
    <row r="503" spans="1:8" ht="22.5" customHeight="1" x14ac:dyDescent="0.25">
      <c r="A503" s="8">
        <v>46245</v>
      </c>
      <c r="B503" s="7" t="s">
        <v>602</v>
      </c>
      <c r="C503" s="7" t="s">
        <v>41</v>
      </c>
      <c r="D503" s="7">
        <v>11999</v>
      </c>
      <c r="E503" s="7" t="s">
        <v>58</v>
      </c>
      <c r="F503" s="7" t="s">
        <v>389</v>
      </c>
      <c r="G503" s="7"/>
      <c r="H503" s="7" t="str">
        <f t="shared" si="1"/>
        <v>agosto 2026</v>
      </c>
    </row>
    <row r="504" spans="1:8" ht="22.5" customHeight="1" x14ac:dyDescent="0.25">
      <c r="A504" s="8">
        <v>46246</v>
      </c>
      <c r="B504" s="7" t="s">
        <v>157</v>
      </c>
      <c r="C504" s="7" t="s">
        <v>20</v>
      </c>
      <c r="D504" s="7">
        <v>300821</v>
      </c>
      <c r="E504" s="7" t="s">
        <v>120</v>
      </c>
      <c r="F504" s="7"/>
      <c r="G504" s="7" t="s">
        <v>27</v>
      </c>
      <c r="H504" s="7" t="str">
        <f t="shared" si="1"/>
        <v>agosto 2026</v>
      </c>
    </row>
    <row r="505" spans="1:8" ht="22.5" customHeight="1" x14ac:dyDescent="0.25">
      <c r="A505" s="8">
        <v>46246</v>
      </c>
      <c r="B505" s="7" t="s">
        <v>603</v>
      </c>
      <c r="C505" s="7" t="s">
        <v>20</v>
      </c>
      <c r="D505" s="7">
        <v>480000</v>
      </c>
      <c r="E505" s="7" t="s">
        <v>542</v>
      </c>
      <c r="F505" s="7"/>
      <c r="G505" s="7" t="s">
        <v>389</v>
      </c>
      <c r="H505" s="7" t="str">
        <f t="shared" si="1"/>
        <v>agosto 2026</v>
      </c>
    </row>
    <row r="506" spans="1:8" ht="22.5" customHeight="1" x14ac:dyDescent="0.25">
      <c r="A506" s="8">
        <v>46246</v>
      </c>
      <c r="B506" s="7" t="s">
        <v>604</v>
      </c>
      <c r="C506" s="7" t="s">
        <v>41</v>
      </c>
      <c r="D506" s="7">
        <v>80000</v>
      </c>
      <c r="E506" s="7" t="s">
        <v>145</v>
      </c>
      <c r="F506" s="7" t="s">
        <v>389</v>
      </c>
      <c r="G506" s="7"/>
      <c r="H506" s="7" t="str">
        <f t="shared" si="1"/>
        <v>agosto 2026</v>
      </c>
    </row>
    <row r="507" spans="1:8" ht="22.5" customHeight="1" x14ac:dyDescent="0.25">
      <c r="A507" s="8">
        <v>46246</v>
      </c>
      <c r="B507" s="7" t="s">
        <v>605</v>
      </c>
      <c r="C507" s="7" t="s">
        <v>41</v>
      </c>
      <c r="D507" s="7">
        <v>66000</v>
      </c>
      <c r="E507" s="7" t="s">
        <v>76</v>
      </c>
      <c r="F507" s="7" t="s">
        <v>27</v>
      </c>
      <c r="G507" s="7"/>
      <c r="H507" s="7" t="str">
        <f t="shared" si="1"/>
        <v>agosto 2026</v>
      </c>
    </row>
    <row r="508" spans="1:8" ht="22.5" customHeight="1" x14ac:dyDescent="0.25">
      <c r="A508" s="8">
        <v>46246</v>
      </c>
      <c r="B508" s="7" t="s">
        <v>606</v>
      </c>
      <c r="C508" s="7" t="s">
        <v>354</v>
      </c>
      <c r="D508" s="7">
        <v>800000</v>
      </c>
      <c r="E508" s="7" t="s">
        <v>391</v>
      </c>
      <c r="F508" s="7" t="s">
        <v>389</v>
      </c>
      <c r="G508" s="7" t="s">
        <v>418</v>
      </c>
      <c r="H508" s="7" t="str">
        <f t="shared" si="1"/>
        <v>agosto 2026</v>
      </c>
    </row>
    <row r="509" spans="1:8" ht="22.5" customHeight="1" x14ac:dyDescent="0.25">
      <c r="A509" s="8">
        <v>46246</v>
      </c>
      <c r="B509" s="7" t="s">
        <v>607</v>
      </c>
      <c r="C509" s="7" t="s">
        <v>354</v>
      </c>
      <c r="D509" s="7">
        <v>15861000</v>
      </c>
      <c r="E509" s="7" t="s">
        <v>391</v>
      </c>
      <c r="F509" s="7" t="s">
        <v>27</v>
      </c>
      <c r="G509" s="7" t="s">
        <v>355</v>
      </c>
      <c r="H509" s="7" t="str">
        <f t="shared" si="1"/>
        <v>agosto 2026</v>
      </c>
    </row>
    <row r="510" spans="1:8" ht="22.5" customHeight="1" x14ac:dyDescent="0.25">
      <c r="A510" s="8">
        <v>46246</v>
      </c>
      <c r="B510" s="7" t="s">
        <v>608</v>
      </c>
      <c r="C510" s="7" t="s">
        <v>41</v>
      </c>
      <c r="D510" s="7">
        <v>158500</v>
      </c>
      <c r="E510" s="7" t="s">
        <v>58</v>
      </c>
      <c r="F510" s="7" t="s">
        <v>389</v>
      </c>
      <c r="G510" s="7"/>
      <c r="H510" s="7" t="str">
        <f t="shared" si="1"/>
        <v>agosto 2026</v>
      </c>
    </row>
    <row r="511" spans="1:8" ht="22.5" customHeight="1" x14ac:dyDescent="0.25">
      <c r="A511" s="8">
        <v>46248</v>
      </c>
      <c r="B511" s="7" t="s">
        <v>609</v>
      </c>
      <c r="C511" s="7" t="s">
        <v>20</v>
      </c>
      <c r="D511" s="7">
        <v>3000</v>
      </c>
      <c r="E511" s="7" t="s">
        <v>275</v>
      </c>
      <c r="F511" s="7"/>
      <c r="G511" s="7" t="s">
        <v>27</v>
      </c>
      <c r="H511" s="7" t="str">
        <f t="shared" ref="H511:H529" si="2">TEXT(A511,"mmmm yyyy")</f>
        <v>agosto 2026</v>
      </c>
    </row>
    <row r="512" spans="1:8" ht="22.5" customHeight="1" x14ac:dyDescent="0.25">
      <c r="A512" s="8">
        <v>46247</v>
      </c>
      <c r="B512" s="7" t="s">
        <v>606</v>
      </c>
      <c r="C512" s="7" t="s">
        <v>354</v>
      </c>
      <c r="D512" s="7">
        <v>800000</v>
      </c>
      <c r="E512" s="7" t="s">
        <v>391</v>
      </c>
      <c r="F512" s="7" t="s">
        <v>389</v>
      </c>
      <c r="G512" s="7" t="s">
        <v>418</v>
      </c>
      <c r="H512" s="7" t="str">
        <f t="shared" si="2"/>
        <v>agosto 2026</v>
      </c>
    </row>
    <row r="513" spans="1:8" ht="22.5" customHeight="1" x14ac:dyDescent="0.25">
      <c r="A513" s="8">
        <v>46248</v>
      </c>
      <c r="B513" s="7" t="s">
        <v>589</v>
      </c>
      <c r="C513" s="7" t="s">
        <v>354</v>
      </c>
      <c r="D513" s="7">
        <v>400000</v>
      </c>
      <c r="E513" s="7" t="s">
        <v>391</v>
      </c>
      <c r="F513" s="7" t="s">
        <v>27</v>
      </c>
      <c r="G513" s="7" t="s">
        <v>389</v>
      </c>
      <c r="H513" s="7" t="str">
        <f t="shared" si="2"/>
        <v>agosto 2026</v>
      </c>
    </row>
    <row r="514" spans="1:8" ht="22.5" customHeight="1" x14ac:dyDescent="0.25">
      <c r="A514" s="8">
        <v>46248</v>
      </c>
      <c r="B514" s="7" t="s">
        <v>610</v>
      </c>
      <c r="C514" s="7" t="s">
        <v>41</v>
      </c>
      <c r="D514" s="7">
        <v>10000</v>
      </c>
      <c r="E514" s="7" t="s">
        <v>31</v>
      </c>
      <c r="F514" s="7" t="s">
        <v>418</v>
      </c>
      <c r="G514" s="7"/>
      <c r="H514" s="7" t="str">
        <f t="shared" si="2"/>
        <v>agosto 2026</v>
      </c>
    </row>
    <row r="515" spans="1:8" ht="22.5" customHeight="1" x14ac:dyDescent="0.25">
      <c r="A515" s="8">
        <v>46248</v>
      </c>
      <c r="B515" s="7" t="s">
        <v>611</v>
      </c>
      <c r="C515" s="7" t="s">
        <v>41</v>
      </c>
      <c r="D515" s="7">
        <v>56500</v>
      </c>
      <c r="E515" s="7" t="s">
        <v>31</v>
      </c>
      <c r="F515" s="7" t="s">
        <v>27</v>
      </c>
      <c r="G515" s="7"/>
      <c r="H515" s="7" t="str">
        <f t="shared" si="2"/>
        <v>agosto 2026</v>
      </c>
    </row>
    <row r="516" spans="1:8" ht="22.5" customHeight="1" x14ac:dyDescent="0.25">
      <c r="A516" s="8">
        <v>46248</v>
      </c>
      <c r="B516" s="7" t="s">
        <v>612</v>
      </c>
      <c r="C516" s="7" t="s">
        <v>41</v>
      </c>
      <c r="D516" s="7">
        <v>19232</v>
      </c>
      <c r="E516" s="7" t="s">
        <v>50</v>
      </c>
      <c r="F516" s="7" t="s">
        <v>389</v>
      </c>
      <c r="G516" s="7"/>
      <c r="H516" s="7" t="str">
        <f t="shared" si="2"/>
        <v>agosto 2026</v>
      </c>
    </row>
    <row r="517" spans="1:8" ht="22.5" customHeight="1" x14ac:dyDescent="0.25">
      <c r="A517" s="8">
        <v>46248</v>
      </c>
      <c r="B517" s="7" t="s">
        <v>606</v>
      </c>
      <c r="C517" s="7" t="s">
        <v>354</v>
      </c>
      <c r="D517" s="7">
        <v>500000</v>
      </c>
      <c r="E517" s="7" t="s">
        <v>391</v>
      </c>
      <c r="F517" s="7" t="s">
        <v>389</v>
      </c>
      <c r="G517" s="7" t="s">
        <v>418</v>
      </c>
      <c r="H517" s="7" t="str">
        <f t="shared" si="2"/>
        <v>agosto 2026</v>
      </c>
    </row>
    <row r="518" spans="1:8" ht="22.5" customHeight="1" x14ac:dyDescent="0.25">
      <c r="A518" s="8">
        <v>46251</v>
      </c>
      <c r="B518" s="7" t="s">
        <v>536</v>
      </c>
      <c r="C518" s="7" t="s">
        <v>41</v>
      </c>
      <c r="D518" s="7">
        <v>20000</v>
      </c>
      <c r="E518" s="7" t="s">
        <v>31</v>
      </c>
      <c r="F518" s="7" t="s">
        <v>27</v>
      </c>
      <c r="G518" s="7"/>
      <c r="H518" s="7" t="str">
        <f t="shared" si="2"/>
        <v>agosto 2026</v>
      </c>
    </row>
    <row r="519" spans="1:8" ht="22.5" customHeight="1" x14ac:dyDescent="0.25">
      <c r="A519" s="8">
        <v>46252</v>
      </c>
      <c r="B519" s="7" t="s">
        <v>613</v>
      </c>
      <c r="C519" s="7" t="s">
        <v>354</v>
      </c>
      <c r="D519" s="7">
        <v>445000</v>
      </c>
      <c r="E519" s="7" t="s">
        <v>391</v>
      </c>
      <c r="F519" s="7" t="s">
        <v>418</v>
      </c>
      <c r="G519" s="7" t="s">
        <v>27</v>
      </c>
      <c r="H519" s="7" t="str">
        <f t="shared" si="2"/>
        <v>agosto 2026</v>
      </c>
    </row>
    <row r="520" spans="1:8" ht="22.5" customHeight="1" x14ac:dyDescent="0.25">
      <c r="A520" s="8">
        <v>46252</v>
      </c>
      <c r="B520" s="7" t="s">
        <v>614</v>
      </c>
      <c r="C520" s="7" t="s">
        <v>354</v>
      </c>
      <c r="D520" s="7">
        <v>1000000</v>
      </c>
      <c r="E520" s="7" t="s">
        <v>391</v>
      </c>
      <c r="F520" s="7" t="s">
        <v>418</v>
      </c>
      <c r="G520" s="7" t="s">
        <v>615</v>
      </c>
      <c r="H520" s="7" t="str">
        <f t="shared" si="2"/>
        <v>agosto 2026</v>
      </c>
    </row>
    <row r="521" spans="1:8" ht="22.5" customHeight="1" x14ac:dyDescent="0.25">
      <c r="A521" s="8">
        <v>46252</v>
      </c>
      <c r="B521" s="7" t="s">
        <v>616</v>
      </c>
      <c r="C521" s="7" t="s">
        <v>41</v>
      </c>
      <c r="D521" s="7">
        <v>6000</v>
      </c>
      <c r="E521" s="7" t="s">
        <v>31</v>
      </c>
      <c r="F521" s="7" t="s">
        <v>418</v>
      </c>
      <c r="G521" s="7"/>
      <c r="H521" s="7" t="str">
        <f t="shared" si="2"/>
        <v>agosto 2026</v>
      </c>
    </row>
    <row r="522" spans="1:8" ht="22.5" customHeight="1" x14ac:dyDescent="0.25">
      <c r="A522" s="8">
        <v>46254</v>
      </c>
      <c r="B522" s="7" t="s">
        <v>617</v>
      </c>
      <c r="C522" s="7" t="s">
        <v>354</v>
      </c>
      <c r="D522" s="7">
        <v>100000</v>
      </c>
      <c r="E522" s="7" t="s">
        <v>391</v>
      </c>
      <c r="F522" s="7" t="s">
        <v>418</v>
      </c>
      <c r="G522" s="7" t="s">
        <v>27</v>
      </c>
      <c r="H522" s="7" t="str">
        <f t="shared" si="2"/>
        <v>agosto 2026</v>
      </c>
    </row>
    <row r="523" spans="1:8" ht="22.5" customHeight="1" x14ac:dyDescent="0.25">
      <c r="A523" s="8">
        <v>46256</v>
      </c>
      <c r="B523" s="7" t="s">
        <v>617</v>
      </c>
      <c r="C523" s="7" t="s">
        <v>354</v>
      </c>
      <c r="D523" s="7">
        <v>262000</v>
      </c>
      <c r="E523" s="7" t="s">
        <v>391</v>
      </c>
      <c r="F523" s="7" t="s">
        <v>418</v>
      </c>
      <c r="G523" s="7" t="s">
        <v>27</v>
      </c>
      <c r="H523" s="7" t="str">
        <f t="shared" si="2"/>
        <v>agosto 2026</v>
      </c>
    </row>
    <row r="524" spans="1:8" ht="22.5" customHeight="1" x14ac:dyDescent="0.25">
      <c r="A524" s="8">
        <v>46257</v>
      </c>
      <c r="B524" s="7" t="s">
        <v>618</v>
      </c>
      <c r="C524" s="7" t="s">
        <v>41</v>
      </c>
      <c r="D524" s="7">
        <v>4000</v>
      </c>
      <c r="E524" s="7" t="s">
        <v>31</v>
      </c>
      <c r="F524" s="7" t="s">
        <v>27</v>
      </c>
      <c r="G524" s="7"/>
      <c r="H524" s="7" t="str">
        <f t="shared" si="2"/>
        <v>agosto 2026</v>
      </c>
    </row>
    <row r="525" spans="1:8" ht="22.5" customHeight="1" x14ac:dyDescent="0.25">
      <c r="A525" s="8">
        <v>46257</v>
      </c>
      <c r="B525" s="7" t="s">
        <v>619</v>
      </c>
      <c r="C525" s="7" t="s">
        <v>20</v>
      </c>
      <c r="D525" s="7">
        <v>150000</v>
      </c>
      <c r="E525" s="7" t="s">
        <v>542</v>
      </c>
      <c r="F525" s="7"/>
      <c r="G525" s="7" t="s">
        <v>27</v>
      </c>
      <c r="H525" s="7" t="str">
        <f t="shared" si="2"/>
        <v>agosto 2026</v>
      </c>
    </row>
    <row r="526" spans="1:8" ht="22.5" customHeight="1" x14ac:dyDescent="0.25">
      <c r="A526" s="8">
        <v>46253</v>
      </c>
      <c r="B526" s="7" t="s">
        <v>602</v>
      </c>
      <c r="C526" s="7" t="s">
        <v>41</v>
      </c>
      <c r="D526" s="7">
        <v>11253</v>
      </c>
      <c r="E526" s="7" t="s">
        <v>620</v>
      </c>
      <c r="F526" s="7" t="s">
        <v>389</v>
      </c>
      <c r="G526" s="7"/>
      <c r="H526" s="7" t="str">
        <f t="shared" si="2"/>
        <v>agosto 2026</v>
      </c>
    </row>
    <row r="527" spans="1:8" ht="22.5" customHeight="1" x14ac:dyDescent="0.25">
      <c r="A527" s="8">
        <v>46254</v>
      </c>
      <c r="B527" s="7" t="s">
        <v>621</v>
      </c>
      <c r="C527" s="7" t="s">
        <v>41</v>
      </c>
      <c r="D527" s="7">
        <v>8188</v>
      </c>
      <c r="E527" s="7" t="s">
        <v>31</v>
      </c>
      <c r="F527" s="7" t="s">
        <v>389</v>
      </c>
      <c r="G527" s="7"/>
      <c r="H527" s="7" t="str">
        <f t="shared" si="2"/>
        <v>agosto 2026</v>
      </c>
    </row>
    <row r="528" spans="1:8" ht="22.5" customHeight="1" x14ac:dyDescent="0.25">
      <c r="A528" s="8">
        <v>46256</v>
      </c>
      <c r="B528" s="7" t="s">
        <v>622</v>
      </c>
      <c r="C528" s="7" t="s">
        <v>41</v>
      </c>
      <c r="D528" s="7">
        <v>20000</v>
      </c>
      <c r="E528" s="7" t="s">
        <v>31</v>
      </c>
      <c r="F528" s="7" t="s">
        <v>418</v>
      </c>
      <c r="G528" s="7"/>
      <c r="H528" s="7" t="str">
        <f t="shared" si="2"/>
        <v>agosto 2026</v>
      </c>
    </row>
    <row r="529" spans="1:8" ht="22.5" customHeight="1" x14ac:dyDescent="0.25">
      <c r="A529" s="8">
        <v>46253</v>
      </c>
      <c r="B529" s="7" t="s">
        <v>623</v>
      </c>
      <c r="C529" s="7" t="s">
        <v>41</v>
      </c>
      <c r="D529" s="7">
        <v>8900</v>
      </c>
      <c r="E529" s="7" t="s">
        <v>31</v>
      </c>
      <c r="F529" s="7" t="s">
        <v>418</v>
      </c>
      <c r="G529" s="7"/>
      <c r="H529" s="7" t="str">
        <f t="shared" si="2"/>
        <v>agosto 2026</v>
      </c>
    </row>
    <row r="530" spans="1:8" ht="22.5" customHeight="1" x14ac:dyDescent="0.25">
      <c r="A530" s="8"/>
      <c r="B530" s="7"/>
      <c r="C530" s="7"/>
      <c r="D530" s="7"/>
      <c r="E530" s="7"/>
      <c r="F530" s="7"/>
      <c r="G530" s="7"/>
    </row>
    <row r="531" spans="1:8" ht="22.5" customHeight="1" x14ac:dyDescent="0.25">
      <c r="A531" s="8"/>
      <c r="B531" s="7"/>
      <c r="C531" s="7"/>
      <c r="D531" s="7"/>
      <c r="E531" s="7"/>
      <c r="F531" s="7"/>
      <c r="G531" s="7"/>
    </row>
    <row r="532" spans="1:8" ht="22.5" customHeight="1" x14ac:dyDescent="0.25">
      <c r="A532" s="8"/>
      <c r="B532" s="7"/>
      <c r="C532" s="7"/>
      <c r="D532" s="7"/>
      <c r="E532" s="7"/>
      <c r="F532" s="7"/>
      <c r="G532" s="7"/>
    </row>
    <row r="533" spans="1:8" ht="22.5" customHeight="1" x14ac:dyDescent="0.25">
      <c r="A533" s="8"/>
      <c r="B533" s="7"/>
      <c r="C533" s="7"/>
      <c r="D533" s="7"/>
      <c r="E533" s="7"/>
      <c r="F533" s="7"/>
      <c r="G533" s="7"/>
    </row>
    <row r="534" spans="1:8" ht="22.5" customHeight="1" x14ac:dyDescent="0.25">
      <c r="A534" s="7"/>
      <c r="B534" s="7"/>
      <c r="C534" s="7"/>
      <c r="D534" s="7"/>
      <c r="E534" s="7"/>
      <c r="F534" s="7"/>
      <c r="G534" s="7"/>
      <c r="H534" s="7"/>
    </row>
    <row r="536" spans="1:8" ht="22.5" customHeight="1" x14ac:dyDescent="0.25">
      <c r="A536" s="6"/>
      <c r="B536" s="6"/>
      <c r="C536" s="5"/>
    </row>
    <row r="537" spans="1:8" ht="22.5" customHeight="1" x14ac:dyDescent="0.25">
      <c r="A537" s="7"/>
      <c r="B537" s="7"/>
    </row>
    <row r="538" spans="1:8" ht="22.5" customHeight="1" x14ac:dyDescent="0.25">
      <c r="A538" s="7"/>
      <c r="B538" s="7"/>
    </row>
    <row r="539" spans="1:8" ht="22.5" customHeight="1" x14ac:dyDescent="0.25">
      <c r="A539" s="7"/>
      <c r="B539" s="7"/>
      <c r="C539" s="35"/>
    </row>
    <row r="540" spans="1:8" ht="22.5" customHeight="1" x14ac:dyDescent="0.25">
      <c r="A540" s="7"/>
      <c r="B540" s="7"/>
      <c r="C540" s="5"/>
    </row>
    <row r="541" spans="1:8" ht="22.5" customHeight="1" x14ac:dyDescent="0.25">
      <c r="A541" s="7"/>
      <c r="B541" s="7"/>
    </row>
    <row r="542" spans="1:8" ht="22.5" customHeight="1" x14ac:dyDescent="0.25">
      <c r="A542" s="7"/>
      <c r="B542" s="7"/>
    </row>
    <row r="543" spans="1:8" ht="22.5" customHeight="1" x14ac:dyDescent="0.25">
      <c r="A543" s="7"/>
      <c r="B543" s="7"/>
    </row>
    <row r="544" spans="1:8" ht="22.5" customHeight="1" x14ac:dyDescent="0.25">
      <c r="A544" s="7"/>
      <c r="B544" s="7"/>
    </row>
    <row r="545" spans="1:2" ht="22.5" customHeight="1" x14ac:dyDescent="0.25">
      <c r="A545" s="7"/>
      <c r="B545" s="7"/>
    </row>
    <row r="546" spans="1:2" ht="22.5" customHeight="1" x14ac:dyDescent="0.25">
      <c r="A546" s="7"/>
      <c r="B546" s="7"/>
    </row>
  </sheetData>
  <conditionalFormatting sqref="A1">
    <cfRule type="notContainsBlanks" dxfId="8" priority="1">
      <formula>LEN(TRIM(A1))&gt;0</formula>
    </cfRule>
  </conditionalFormatting>
  <dataValidations count="2">
    <dataValidation type="custom" allowBlank="1" showDropDown="1" sqref="A2:A533" xr:uid="{00000000-0002-0000-0000-000000000000}">
      <formula1>OR(NOT(ISERROR(DATEVALUE(A2))), AND(ISNUMBER(A2), LEFT(CELL("format", A2))="D"))</formula1>
    </dataValidation>
    <dataValidation type="list" allowBlank="1" sqref="C2:C533" xr:uid="{00000000-0002-0000-0000-000001000000}">
      <formula1>"Ingreso,Gasto,Transferencia"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12"/>
  <sheetViews>
    <sheetView workbookViewId="0"/>
  </sheetViews>
  <sheetFormatPr baseColWidth="10" defaultColWidth="12.6328125" defaultRowHeight="15.75" customHeight="1" x14ac:dyDescent="0.25"/>
  <cols>
    <col min="1" max="1" width="18.26953125" customWidth="1"/>
  </cols>
  <sheetData>
    <row r="1" spans="1:14" ht="15.75" customHeight="1" x14ac:dyDescent="0.25">
      <c r="A1" s="1"/>
      <c r="B1" s="2">
        <v>45992</v>
      </c>
      <c r="C1" s="2">
        <v>46023</v>
      </c>
      <c r="D1" s="2">
        <v>46054</v>
      </c>
      <c r="E1" s="2">
        <v>46082</v>
      </c>
      <c r="F1" s="2">
        <v>46113</v>
      </c>
      <c r="G1" s="2">
        <v>46143</v>
      </c>
      <c r="H1" s="2">
        <v>46174</v>
      </c>
      <c r="I1" s="2">
        <v>46204</v>
      </c>
      <c r="J1" s="2">
        <v>46235</v>
      </c>
      <c r="K1" s="2">
        <v>46266</v>
      </c>
      <c r="L1" s="2">
        <v>46296</v>
      </c>
      <c r="M1" s="2">
        <v>46327</v>
      </c>
      <c r="N1" s="2">
        <v>46357</v>
      </c>
    </row>
    <row r="2" spans="1:14" ht="15.75" customHeight="1" x14ac:dyDescent="0.25">
      <c r="A2" s="3" t="s">
        <v>0</v>
      </c>
      <c r="B2" s="4">
        <f>SUMIFS(Contable!$D:$D,Contable!$H:$H, B$1,Contable!$E:$E, "sueldo",Contable!$C:$C,"Ingreso")</f>
        <v>3248000</v>
      </c>
      <c r="C2" s="4">
        <f>SUMIFS(Contable!$D:$D,Contable!$H:$H, C$1,Contable!$E:$E, "sueldo")</f>
        <v>2175700</v>
      </c>
      <c r="D2" s="4">
        <f>SUMIFS(Contable!$D:$D,Contable!$H:$H, D$1,Contable!$E:$E, "sueldo")</f>
        <v>2177000</v>
      </c>
      <c r="E2" s="4">
        <f>SUMIFS(Contable!$D:$D,Contable!$H:$H, E$1,Contable!$E:$E, "sueldo")</f>
        <v>2177235</v>
      </c>
      <c r="F2" s="4">
        <f>SUMIFS(Contable!$D:$D,Contable!$H:$H, F$1,Contable!$E:$E, "sueldo")</f>
        <v>2314000</v>
      </c>
      <c r="G2" s="4">
        <f>SUMIFS(Contable!$D:$D,Contable!$H:$H, G$1,Contable!$E:$E, "sueldo")</f>
        <v>2409000</v>
      </c>
      <c r="H2" s="4">
        <f>SUMIFS(Contable!$D:$D,Contable!$H:$H, H$1,Contable!$E:$E, "sueldo")</f>
        <v>2306000</v>
      </c>
      <c r="I2" s="4">
        <f>SUMIFS(Contable!$D:$D,Contable!$H:$H, I$1,Contable!$E:$E, "sueldo")</f>
        <v>3548376</v>
      </c>
      <c r="J2" s="4">
        <f>SUMIFS(Contable!$D:$D,Contable!$H:$H, J$1,Contable!$E:$E, "sueldo")</f>
        <v>2434000</v>
      </c>
      <c r="K2" s="4">
        <f>SUMIFS(Contable!$D:$D,Contable!$H:$H, K$1,Contable!$E:$E, "sueldo")</f>
        <v>0</v>
      </c>
      <c r="L2" s="4">
        <f>SUMIFS(Contable!$D:$D,Contable!$H:$H, L$1,Contable!$E:$E, "sueldo")</f>
        <v>0</v>
      </c>
      <c r="M2" s="4">
        <f>SUMIFS(Contable!$D:$D,Contable!$H:$H, M$1,Contable!$E:$E, "sueldo")</f>
        <v>0</v>
      </c>
      <c r="N2" s="4"/>
    </row>
    <row r="3" spans="1:14" ht="15.75" customHeight="1" x14ac:dyDescent="0.25">
      <c r="A3" s="11" t="s">
        <v>31</v>
      </c>
      <c r="B3" s="12">
        <f>SUMIFS(Contable!$D:$D, Contable!$H:$H, B$1, Contable!$E:$E, "Gastos",Contable!$C:$C,"Gasto")</f>
        <v>110900</v>
      </c>
      <c r="C3" s="12">
        <f>SUMIFS(Contable!$D:$D, Contable!$H:$H, C$1, Contable!$E:$E, "Gastos",Contable!$C:$C,"Gasto")</f>
        <v>406787</v>
      </c>
      <c r="D3" s="12">
        <f>SUMIFS(Contable!$D:$D, Contable!$H:$H, D$1, Contable!$E:$E, "Gastos",Contable!$C:$C,"Gasto")</f>
        <v>516355</v>
      </c>
      <c r="E3" s="12">
        <f>SUMIFS(Contable!$D:$D, Contable!$H:$H, E$1, Contable!$E:$E, "Gastos",Contable!$C:$C,"Gasto")</f>
        <v>25000</v>
      </c>
      <c r="F3" s="12">
        <f>SUMIFS(Contable!$D:$D, Contable!$H:$H, F$1, Contable!$E:$E, "Gastos")</f>
        <v>512093</v>
      </c>
      <c r="G3" s="12">
        <f>SUMIFS(Contable!$D:$D, Contable!$H:$H, G$1, Contable!$E:$E, "Gastos")</f>
        <v>842921</v>
      </c>
      <c r="H3" s="12">
        <f>SUMIFS(Contable!$D:$D, Contable!$H:$H, H$1, Contable!$E:$E, "Gastos")</f>
        <v>453815.25</v>
      </c>
      <c r="I3" s="12">
        <f>SUMIFS(Contable!$D:$D, Contable!$H:$H, I$1, Contable!$E:$E, "Gastos")</f>
        <v>246730</v>
      </c>
      <c r="J3" s="12">
        <f>SUMIFS(Contable!$D:$D, Contable!$H:$H, J$1, Contable!$E:$E, "Gastos")</f>
        <v>352417</v>
      </c>
      <c r="K3" s="12">
        <f>SUMIFS(Contable!$D:$D, Contable!$H:$H, K$1, Contable!$E:$E, "Gastos")</f>
        <v>0</v>
      </c>
      <c r="L3" s="12">
        <f>SUMIFS(Contable!$D:$D, Contable!$H:$H, L$1, Contable!$E:$E, "Gastos")</f>
        <v>0</v>
      </c>
      <c r="M3" s="12">
        <f>SUMIFS(Finanzas!$C:$C, Finanzas!$F:$F, M$1, Finanzas!$E:$E, "Gastos")</f>
        <v>0</v>
      </c>
      <c r="N3" s="12">
        <f>SUMIFS(Finanzas!$C:$C, Finanzas!$F:$F, N$1, Finanzas!$E:$E, "Gastos")</f>
        <v>0</v>
      </c>
    </row>
    <row r="4" spans="1:14" ht="15.75" customHeight="1" x14ac:dyDescent="0.25">
      <c r="A4" s="11" t="s">
        <v>48</v>
      </c>
      <c r="B4" s="12">
        <f>SUMIFS(Contable!$D:$D,Contable!$H:$H, B$1,Contable!$E:$E, "Combustible",Contable!$C:$C,"Gasto")+SUMIFS(Contable!$D:$D,Contable!$H:$H,B$1,Contable!$E:$E, "Auto",Contable!$C:$C,"Gasto")</f>
        <v>410000</v>
      </c>
      <c r="C4" s="12">
        <f>SUMIFS(Contable!$D:$D,Contable!$H:$H, C$1,Contable!$E:$E, "Combustible",Contable!$C:$C,"Gasto")+SUMIFS(Contable!$D:$D,Contable!$H:$H,C$1,Contable!$E:$E, "Auto",Contable!$C:$C,"Gasto")</f>
        <v>360200</v>
      </c>
      <c r="D4" s="12">
        <f>SUMIFS(Contable!$D:$D,Contable!$H:$H, D$1,Contable!$E:$E, "Combustible",Contable!$C:$C,"Gasto")+SUMIFS(Contable!$D:$D,Contable!$H:$H,D$1,Contable!$E:$E, "Auto",Contable!$C:$C,"Gasto")</f>
        <v>150000</v>
      </c>
      <c r="E4" s="12">
        <f>SUMIFS(Contable!$D:$D,Contable!$H:$H, E$1,Contable!$E:$E, "Combustible",Contable!$C:$C,"Gasto")+SUMIFS(Contable!$D:$D,Contable!$H:$H,E$1,Contable!$E:$E, "Auto",Contable!$C:$C,"Gasto")</f>
        <v>88000</v>
      </c>
      <c r="F4" s="12">
        <f>SUMIFS(Contable!$D:$D,Contable!$H:$H, F$1,Contable!$E:$E, "Combustible",Contable!$C:$C,"Gasto")+SUMIFS(Contable!$D:$D,Contable!$H:$H,F$1,Contable!$E:$E, "Auto",Contable!$C:$C,"Gasto")</f>
        <v>369000</v>
      </c>
      <c r="G4" s="12">
        <f>SUMIFS(Contable!$D:$D,Contable!$H:$H, G$1,Contable!$E:$E, "Combustible",Contable!$C:$C,"Gasto")+SUMIFS(Contable!$D:$D,Contable!$H:$H,G$1,Contable!$E:$E, "Auto",Contable!$C:$C,"Gasto")</f>
        <v>70000</v>
      </c>
      <c r="H4" s="12">
        <f>SUMIFS(Contable!$D:$D,Contable!$H:$H, H$1,Contable!$E:$E, "Combustible",Contable!$C:$C,"Gasto")+SUMIFS(Contable!$D:$D,Contable!$H:$H,H$1,Contable!$E:$E, "Auto",Contable!$C:$C,"Gasto")</f>
        <v>323000</v>
      </c>
      <c r="I4" s="12">
        <f>SUMIFS(Contable!$D:$D,Contable!$H:$H, I$1,Contable!$E:$E, "Combustible",Contable!$C:$C,"Gasto")+SUMIFS(Contable!$D:$D,Contable!$H:$H,I$1,Contable!$E:$E, "Auto",Contable!$C:$C,"Gasto")</f>
        <v>726000</v>
      </c>
      <c r="J4" s="12">
        <f>SUMIFS(Contable!$D:$D,Contable!$H:$H, J$1,Contable!$E:$E, "Combustible",Contable!$C:$C,"Gasto")+SUMIFS(Contable!$D:$D,Contable!$H:$H,J$1,Contable!$E:$E, "Auto",Contable!$C:$C,"Gasto")</f>
        <v>192000</v>
      </c>
      <c r="K4" s="12">
        <f>SUMIFS(Finanzas!$C:$C,Finanzas!$F:$F, K$1,Finanzas!$E:$E, "Combustible")+SUMIFS(Finanzas!$C:$C,Finanzas!$F:$F,K$1,Finanzas!$E:$E, "Auto")</f>
        <v>0</v>
      </c>
      <c r="L4" s="12">
        <f>SUMIFS(Finanzas!$C:$C,Finanzas!$F:$F, L$1,Finanzas!$E:$E, "Combustible")+SUMIFS(Finanzas!$C:$C,Finanzas!$F:$F,L$1,Finanzas!$E:$E, "Auto")</f>
        <v>0</v>
      </c>
      <c r="M4" s="12">
        <f>SUMIFS(Finanzas!$C:$C,Finanzas!$F:$F, M$1,Finanzas!$E:$E, "Combustible")+SUMIFS(Finanzas!$C:$C,Finanzas!$F:$F,M$1,Finanzas!$E:$E, "Auto")</f>
        <v>0</v>
      </c>
      <c r="N4" s="12">
        <f>SUMIFS(Finanzas!$C:$C,Finanzas!$F:$F, N$1,Finanzas!$E:$E, "Combustible")+SUMIFS(Finanzas!$C:$C,Finanzas!$F:$F,N$1,Finanzas!$E:$E, "Auto")</f>
        <v>0</v>
      </c>
    </row>
    <row r="5" spans="1:14" ht="15.75" customHeight="1" x14ac:dyDescent="0.25">
      <c r="A5" s="11" t="s">
        <v>75</v>
      </c>
      <c r="B5" s="12">
        <f>SUMIFS(Contable!$D:$D,Contable!$H:$H,B$1,Contable!$E:$E, "Prestamo",Contable!$C:$C,"Gasto")</f>
        <v>100000</v>
      </c>
      <c r="C5" s="12">
        <f>SUMIFS(Contable!$D:$D,Contable!$H:$H,C$1,Contable!$E:$E, "Prestamo",Contable!$C:$C,"Gasto")</f>
        <v>80000</v>
      </c>
      <c r="D5" s="12">
        <f>SUMIFS(Contable!$D:$D,Contable!$H:$H,D$1,Contable!$E:$E, "Prestamo",Contable!$C:$C,"Gasto")</f>
        <v>0</v>
      </c>
      <c r="E5" s="12">
        <f>SUMIFS(Contable!$D:$D,Contable!$H:$H,E$1,Contable!$E:$E, "Prestamo",Contable!$C:$C,"Gasto")</f>
        <v>0</v>
      </c>
      <c r="F5" s="12">
        <f>SUMIFS(Contable!$D:$D,Contable!$H:$H,F$1,Contable!$E:$E, "Prestamo",Contable!$C:$C,"Gasto")</f>
        <v>0</v>
      </c>
      <c r="G5" s="12">
        <f>SUMIFS(Contable!$D:$D,Contable!$H:$H,G$1,Contable!$E:$E, "Prestamo",Contable!$C:$C,"Gasto")</f>
        <v>0</v>
      </c>
      <c r="H5" s="12">
        <f>SUMIFS(Contable!$D:$D,Contable!$H:$H,H$1,Contable!$E:$E, "Prestamo",Contable!$C:$C,"Gasto")</f>
        <v>0</v>
      </c>
      <c r="I5" s="12">
        <f>SUMIFS(Contable!$D:$D,Contable!$H:$H,I$1,Contable!$E:$E, "Prestamo",Contable!$C:$C,"Gasto")</f>
        <v>0</v>
      </c>
      <c r="J5" s="12">
        <f>SUMIFS(Contable!$D:$D,Contable!$H:$H,J$1,Contable!$E:$E, "Prestamo",Contable!$C:$C,"Gasto")</f>
        <v>0</v>
      </c>
      <c r="K5" s="12">
        <f>SUMIFS(Contable!$D:$D,Contable!$H:$H,K$1,Contable!$E:$E, "Prestamo",Contable!$C:$C,"Gasto")</f>
        <v>0</v>
      </c>
      <c r="L5" s="12">
        <f>SUMIFS(Finanzas!$C:$C,Finanzas!$F:$F,L$1,Finanzas!$E:$E, "Prestamo")</f>
        <v>0</v>
      </c>
      <c r="M5" s="12">
        <f>SUMIFS(Finanzas!$C:$C,Finanzas!$F:$F,M$1,Finanzas!$E:$E, "Prestamo")</f>
        <v>0</v>
      </c>
      <c r="N5" s="12">
        <f>SUMIFS(Finanzas!$C:$C,Finanzas!$F:$F,N$1,Finanzas!$E:$E, "Prestamo")</f>
        <v>0</v>
      </c>
    </row>
    <row r="6" spans="1:14" ht="15.75" customHeight="1" x14ac:dyDescent="0.25">
      <c r="A6" s="11" t="s">
        <v>93</v>
      </c>
      <c r="B6" s="12">
        <f>SUMIFS(Contable!$D:$D,Contable!$H:$H, B$1,Contable!$E:$E, "inversion",Contable!$C:$C,"Gasto")</f>
        <v>475000</v>
      </c>
      <c r="C6" s="12">
        <f>SUMIFS(Contable!$D:$D,Contable!$H:$H, C$1,Contable!$E:$E, "inversion",Contable!$C:$C,"Gasto")</f>
        <v>860000</v>
      </c>
      <c r="D6" s="12">
        <f>SUMIFS(Contable!$D:$D,Contable!$H:$H, D$1,Contable!$E:$E, "inversion",Contable!$C:$C,"Gasto")</f>
        <v>880000</v>
      </c>
      <c r="E6" s="12">
        <f>SUMIFS(Contable!$D:$D,Contable!$H:$H, E$1,Contable!$E:$E, "inversion",Contable!$C:$C,"Gasto")</f>
        <v>271000</v>
      </c>
      <c r="F6" s="12">
        <f>SUMIFS(Contable!$D:$D,Contable!$H:$H, F$1,Contable!$E:$E, "inversion",Contable!$C:$C,"Gasto")</f>
        <v>1155000</v>
      </c>
      <c r="G6" s="12">
        <f>SUMIFS(Contable!$D:$D,Contable!$H:$H, G$1,Contable!$E:$E, "inversion",Contable!$C:$C,"Gasto")</f>
        <v>630000</v>
      </c>
      <c r="H6" s="12">
        <f>SUMIFS(Contable!$D:$D,Contable!$H:$H, H$1,Contable!$E:$E, "inversion",Contable!$C:$C,"Gasto")</f>
        <v>930000</v>
      </c>
      <c r="I6" s="12">
        <f>SUMIFS(Contable!$D:$D,Contable!$H:$H, I$1,Contable!$E:$E, "inversion",Contable!$C:$C,"Gasto")</f>
        <v>1170000</v>
      </c>
      <c r="J6" s="12">
        <f>SUMIFS(Contable!$D:$D,Contable!$H:$H, J$1,Contable!$E:$E, "inversion",Contable!$C:$C,"Gasto")</f>
        <v>139232</v>
      </c>
      <c r="K6" s="12">
        <f>SUMIFS(Contable!$D:$D,Contable!$H:$H, K$1,Contable!$E:$E, "inversion",Contable!$C:$C,"Gasto")</f>
        <v>0</v>
      </c>
      <c r="L6" s="12">
        <f>SUMIFS(Contable!$D:$D,Contable!$H:$H, L$1,Contable!$E:$E, "inversion",Contable!$C:$C,"Gasto")</f>
        <v>0</v>
      </c>
      <c r="M6" s="12">
        <f>SUMIFS(Finanzas!$C:$C,Finanzas!$F:$F, M$1,Finanzas!$E:$E, "inversion")</f>
        <v>0</v>
      </c>
      <c r="N6" s="12">
        <f>SUMIFS(Finanzas!$C:$C,Finanzas!$F:$F, N$1,Finanzas!$E:$E, "inversion")</f>
        <v>0</v>
      </c>
    </row>
    <row r="7" spans="1:14" ht="15.75" customHeight="1" x14ac:dyDescent="0.25">
      <c r="A7" s="11" t="s">
        <v>105</v>
      </c>
      <c r="B7" s="12">
        <f>SUMIFS(Contable!$D:$D,Contable!$H:$H, B$1,Contable!$E:$E, "alexis",Contable!$C:$C,"Gasto")</f>
        <v>300000</v>
      </c>
      <c r="C7" s="12">
        <f>SUMIFS(Contable!$D:$D,Contable!$H:$H, C$1,Contable!$E:$E, "alexis",Contable!$C:$C,"Gasto")</f>
        <v>300000</v>
      </c>
      <c r="D7" s="12">
        <f>SUMIFS(Contable!$D:$D,Contable!$H:$H, D$1,Contable!$E:$E, "alexis",Contable!$C:$C,"Gasto")</f>
        <v>400000</v>
      </c>
      <c r="E7" s="12">
        <f>SUMIFS(Contable!$D:$D,Contable!$H:$H, E$1,Contable!$E:$E, "alexis",Contable!$C:$C,"Gasto")</f>
        <v>0</v>
      </c>
      <c r="F7" s="12">
        <f>SUMIFS(Contable!$D:$D,Contable!$H:$H, F$1,Contable!$E:$E, "alexis",Contable!$C:$C,"Gasto")</f>
        <v>173000</v>
      </c>
      <c r="G7" s="12">
        <f>SUMIFS(Contable!$D:$D,Contable!$H:$H, G$1,Contable!$E:$E, "alexis",Contable!$C:$C,"Gasto")</f>
        <v>0</v>
      </c>
      <c r="H7" s="12">
        <f>SUMIFS(Contable!$D:$D,Contable!$H:$H, H$1,Contable!$E:$E, "alexis",Contable!$C:$C,"Gasto")</f>
        <v>0</v>
      </c>
      <c r="I7" s="12">
        <f>SUMIFS(Contable!$D:$D,Contable!$H:$H, I$1,Contable!$E:$E, "alexis",Contable!$C:$C,"Gasto")</f>
        <v>154000</v>
      </c>
      <c r="J7" s="12">
        <f>SUMIFS(Contable!$D:$D,Contable!$H:$H, J$1,Contable!$E:$E, "alexis",Contable!$C:$C,"Gasto")</f>
        <v>0</v>
      </c>
      <c r="K7" s="12">
        <f>SUMIFS(Contable!$D:$D,Contable!$H:$H, K$1,Contable!$E:$E, "alexis",Contable!$C:$C,"Gasto")</f>
        <v>0</v>
      </c>
      <c r="L7" s="12">
        <f>SUMIFS(Contable!$D:$D,Contable!$H:$H, L$1,Contable!$E:$E, "alexis",Contable!$C:$C,"Gasto")</f>
        <v>0</v>
      </c>
      <c r="M7" s="12">
        <f>SUMIFS(Contable!$D:$D,Contable!$H:$H, M$1,Contable!$E:$E, "alexis",Contable!$C:$C,"Gasto")</f>
        <v>0</v>
      </c>
      <c r="N7" s="12">
        <f>SUMIFS(Finanzas!$C:$C,Finanzas!$F:$F, N$1,Finanzas!$E:$E, "alexis")</f>
        <v>0</v>
      </c>
    </row>
    <row r="8" spans="1:14" ht="15.75" customHeight="1" x14ac:dyDescent="0.25">
      <c r="A8" s="11" t="s">
        <v>110</v>
      </c>
      <c r="B8" s="12">
        <f>SUMIFS(Contable!$D:$D,Contable!$H:$H, B$1,Contable!$E:$E, "servicios",Contable!$C:$C,"Gasto")</f>
        <v>201200</v>
      </c>
      <c r="C8" s="12">
        <f>SUMIFS(Contable!$D:$D,Contable!$H:$H, C$1,Contable!$E:$E, "servicios",Contable!$C:$C,"Gasto")</f>
        <v>44700</v>
      </c>
      <c r="D8" s="12">
        <f>SUMIFS(Contable!$D:$D,Contable!$H:$H, D$1,Contable!$E:$E, "servicios",Contable!$C:$C,"Gasto")</f>
        <v>160988</v>
      </c>
      <c r="E8" s="12">
        <f>SUMIFS(Contable!$D:$D,Contable!$H:$H, E$1,Contable!$E:$E, "servicios",Contable!$C:$C,"Gasto")</f>
        <v>296732</v>
      </c>
      <c r="F8" s="12">
        <f>SUMIFS(Contable!$D:$D,Contable!$H:$H, F$1,Contable!$E:$E, "servicios",Contable!$C:$C,"Gasto")</f>
        <v>101900</v>
      </c>
      <c r="G8" s="12">
        <f>SUMIFS(Contable!$D:$D,Contable!$H:$H, G$1,Contable!$E:$E, "servicios",Contable!$C:$C,"Gasto")</f>
        <v>93450</v>
      </c>
      <c r="H8" s="12">
        <f>SUMIFS(Contable!$D:$D,Contable!$H:$H, H$1,Contable!$E:$E, "servicios",Contable!$C:$C,"Gasto")</f>
        <v>77201</v>
      </c>
      <c r="I8" s="12">
        <f>SUMIFS(Contable!$D:$D,Contable!$H:$H, I$1,Contable!$E:$E, "servicios",Contable!$C:$C,"Gasto")</f>
        <v>277700</v>
      </c>
      <c r="J8" s="12">
        <f>SUMIFS(Contable!$D:$D,Contable!$H:$H, J$1,Contable!$E:$E, "servicios",Contable!$C:$C,"Gasto")</f>
        <v>206753</v>
      </c>
      <c r="K8" s="12">
        <f>SUMIFS(Contable!$D:$D,Contable!$H:$H, K$1,Contable!$E:$E, "servicios",Contable!$C:$C,"Gasto")</f>
        <v>0</v>
      </c>
      <c r="L8" s="12">
        <f>SUMIFS(Contable!$D:$D,Contable!$H:$H, L$1,Contable!$E:$E, "servicios",Contable!$C:$C,"Gasto")</f>
        <v>0</v>
      </c>
      <c r="M8" s="12">
        <f>SUMIFS(Finanzas!$C:$C,Finanzas!$F:$F, M$1,Finanzas!$E:$E, "servicios")</f>
        <v>0</v>
      </c>
      <c r="N8" s="12">
        <f>SUMIFS(Finanzas!$C:$C,Finanzas!$F:$F, N$1,Finanzas!$E:$E, "servicios")</f>
        <v>0</v>
      </c>
    </row>
    <row r="9" spans="1:14" ht="15.75" customHeight="1" x14ac:dyDescent="0.25">
      <c r="A9" s="11" t="s">
        <v>119</v>
      </c>
      <c r="B9" s="12">
        <f>SUMIFS(Contable!$D:$D,Contable!$H:$H, B$1,Contable!$E:$E, "tarjeta",Contable!$C:$C,"Gasto")</f>
        <v>331043.75</v>
      </c>
      <c r="C9" s="12">
        <f>SUMIFS(Contable!$D:$D,Contable!$H:$H, C$1,Contable!$E:$E, "tarjeta",Contable!$C:$C,"Gasto")</f>
        <v>0</v>
      </c>
      <c r="D9" s="12">
        <f>SUMIFS(Contable!$D:$D,Contable!$H:$H, D$1,Contable!$E:$E, "tarjeta",Contable!$C:$C,"Gasto")</f>
        <v>222104</v>
      </c>
      <c r="E9" s="12">
        <f>SUMIFS(Contable!$D:$D,Contable!$H:$H, E$1,Contable!$E:$E, "tarjeta",Contable!$C:$C,"Gasto")</f>
        <v>613155</v>
      </c>
      <c r="F9" s="12">
        <f>SUMIFS(Contable!$D:$D,Contable!$H:$H, F$1,Contable!$E:$E, "tarjeta",Contable!$C:$C,"Gasto")</f>
        <v>436000</v>
      </c>
      <c r="G9" s="12">
        <f>SUMIFS(Contable!$D:$D,Contable!$H:$H, G$1,Contable!$E:$E, "tarjeta",Contable!$C:$C,"Gasto")</f>
        <v>531100</v>
      </c>
      <c r="H9" s="12">
        <f>SUMIFS(Contable!$D:$D,Contable!$H:$H, H$1,Contable!$E:$E, "tarjeta",Contable!$C:$C,"Gasto")</f>
        <v>366000</v>
      </c>
      <c r="I9" s="12">
        <f>SUMIFS(Contable!$D:$D,Contable!$H:$H, I$1,Contable!$E:$E, "tarjeta",Contable!$C:$C,"Gasto")</f>
        <v>212000</v>
      </c>
      <c r="J9" s="12">
        <f>SUMIFS(Contable!$D:$D,Contable!$H:$H, J$1,Contable!$E:$E, "tarjeta",Contable!$C:$C,"Gasto")</f>
        <v>193500</v>
      </c>
      <c r="K9" s="12">
        <f>SUMIFS(Contable!$D:$D,Contable!$H:$H, K$1,Contable!$E:$E, "tarjeta",Contable!$C:$C,"Gasto")</f>
        <v>0</v>
      </c>
      <c r="L9" s="12">
        <f>SUMIFS(Contable!$D:$D,Contable!$H:$H, L$1,Contable!$E:$E, "tarjeta",Contable!$C:$C,"Gasto")</f>
        <v>0</v>
      </c>
      <c r="M9" s="12">
        <f>SUMIFS(Finanzas!$C:$C,Finanzas!$F:$F, M$1,Finanzas!$E:$E, "tarjeta")</f>
        <v>0</v>
      </c>
      <c r="N9" s="12">
        <f>SUMIFS(Finanzas!$C:$C,Finanzas!$F:$F, N$1,Finanzas!$E:$E, "tarjeta")</f>
        <v>0</v>
      </c>
    </row>
    <row r="10" spans="1:14" ht="15.75" customHeight="1" x14ac:dyDescent="0.25">
      <c r="A10" s="11" t="s">
        <v>126</v>
      </c>
      <c r="B10" s="12">
        <f>SUMIFS(Contable!$D:$D,Contable!$H:$H, B$1,Contable!$E:$E, "Carolina",Contable!$C:$C,"Gasto")</f>
        <v>75000</v>
      </c>
      <c r="C10" s="12">
        <f>SUMIFS(Contable!$D:$D,Contable!$H:$H, C$1,Contable!$E:$E, "Carolina",Contable!$C:$C,"Gasto")</f>
        <v>0</v>
      </c>
      <c r="D10" s="12">
        <f>SUMIFS(Contable!$D:$D,Contable!$H:$H, D$1,Contable!$E:$E, "Carolina",Contable!$C:$C,"Gasto")</f>
        <v>0</v>
      </c>
      <c r="E10" s="12">
        <f>SUMIFS(Contable!$D:$D,Contable!$H:$H, E$1,Contable!$E:$E, "Carolina",Contable!$C:$C,"Gasto")</f>
        <v>65000</v>
      </c>
      <c r="F10" s="12">
        <f>SUMIFS(Contable!$D:$D,Contable!$H:$H, F$1,Contable!$E:$E, "Carolina",Contable!$C:$C,"Gasto")</f>
        <v>65000</v>
      </c>
      <c r="G10" s="12">
        <f>SUMIFS(Contable!$D:$D,Contable!$H:$H, G$1,Contable!$E:$E, "Carolina",Contable!$C:$C,"Gasto")</f>
        <v>65000</v>
      </c>
      <c r="H10" s="12">
        <f>SUMIFS(Contable!$D:$D,Contable!$H:$H, H$1,Contable!$E:$E, "Carolina",Contable!$C:$C,"Gasto")</f>
        <v>70000</v>
      </c>
      <c r="I10" s="12">
        <f>SUMIFS(Contable!$D:$D,Contable!$H:$H, I$1,Contable!$E:$E, "Carolina",Contable!$C:$C,"Gasto")</f>
        <v>100000</v>
      </c>
      <c r="J10" s="12">
        <f>SUMIFS(Contable!$D:$D,Contable!$H:$H, J$1,Contable!$E:$E, "Carolina",Contable!$C:$C,"Gasto")</f>
        <v>80000</v>
      </c>
      <c r="K10" s="12">
        <f>SUMIFS(Contable!$D:$D,Contable!$H:$H, K$1,Contable!$E:$E, "Carolina",Contable!$C:$C,"Gasto")</f>
        <v>0</v>
      </c>
      <c r="L10" s="12">
        <f>SUMIFS(Contable!$D:$D,Contable!$H:$H, L$1,Contable!$E:$E, "Carolina",Contable!$C:$C,"Gasto")</f>
        <v>0</v>
      </c>
      <c r="M10" s="12">
        <f>SUMIFS(Contable!$D:$D,Contable!$H:$H, M$1,Contable!$E:$E, "Carolina",Contable!$C:$C,"Gasto")</f>
        <v>0</v>
      </c>
      <c r="N10" s="12">
        <f>SUMIFS(Finanzas!$C:$C,Finanzas!$F:$F, N$1,Finanzas!$E:$E, "Carolina")</f>
        <v>0</v>
      </c>
    </row>
    <row r="11" spans="1:14" ht="15.75" customHeight="1" x14ac:dyDescent="0.25">
      <c r="A11" s="11" t="s">
        <v>141</v>
      </c>
      <c r="B11" s="12">
        <f>SUMIFS(Contable!$D:$D,Contable!$H:$H, B$1,Contable!$E:$E, "Extra",Contable!$C:$C,"Gasto")</f>
        <v>389900</v>
      </c>
      <c r="C11" s="12">
        <f>SUMIFS(Contable!$D:$D,Contable!$H:$H, C$1,Contable!$E:$E, "Extra",Contable!$C:$C,"Gasto")</f>
        <v>0</v>
      </c>
      <c r="D11" s="12">
        <f>SUMIFS(Contable!$D:$D,Contable!$H:$H, D$1,Contable!$E:$E, "Extra",Contable!$C:$C,"Gasto")</f>
        <v>1753000</v>
      </c>
      <c r="E11" s="12">
        <f>SUMIFS(Contable!$D:$D,Contable!$H:$H, E$1,Contable!$E:$E, "Extra",Contable!$C:$C,"Gasto")</f>
        <v>126800</v>
      </c>
      <c r="F11" s="12">
        <f>SUMIFS(Contable!$D:$D,Contable!$H:$H, F$1,Contable!$E:$E, "Extra",Contable!$C:$C,"Gasto")</f>
        <v>0</v>
      </c>
      <c r="G11" s="12">
        <f>SUMIFS(Contable!$D:$D,Contable!$H:$H, G$1,Contable!$E:$E, "Extra",Contable!$C:$C,"Gasto")</f>
        <v>17000</v>
      </c>
      <c r="H11" s="12">
        <f>SUMIFS(Contable!$D:$D,Contable!$H:$H, H$1,Contable!$E:$E, "Extra",Contable!$C:$C,"Gasto")</f>
        <v>228000</v>
      </c>
      <c r="I11" s="12">
        <f>SUMIFS(Contable!$D:$D,Contable!$H:$H, I$1,Contable!$E:$E, "Extra",Contable!$C:$C,"Gasto")</f>
        <v>149500</v>
      </c>
      <c r="J11" s="12">
        <f>SUMIFS(Contable!$D:$D,Contable!$H:$H, J$1,Contable!$E:$E, "Extra",Contable!$C:$C,"Gasto")</f>
        <v>0</v>
      </c>
      <c r="K11" s="12">
        <f>SUMIFS(Contable!$D:$D,Contable!$H:$H, K$1,Contable!$E:$E, "Extra",Contable!$C:$C,"Gasto")</f>
        <v>0</v>
      </c>
      <c r="L11" s="12">
        <f>SUMIFS(Contable!$D:$D,Contable!$H:$H, L$1,Contable!$E:$E, "Extra",Contable!$C:$C,"Gasto")</f>
        <v>0</v>
      </c>
      <c r="M11" s="12">
        <f>SUMIFS(Finanzas!$C:$C,Finanzas!$F:$F, M$1,Finanzas!$E:$E, "Extra")</f>
        <v>0</v>
      </c>
      <c r="N11" s="12">
        <f>SUMIFS(Finanzas!$C:$C,Finanzas!$F:$F, N$1,Finanzas!$E:$E, "Extra")</f>
        <v>0</v>
      </c>
    </row>
    <row r="12" spans="1:14" ht="15.75" customHeight="1" x14ac:dyDescent="0.25">
      <c r="A12" s="3" t="s">
        <v>154</v>
      </c>
      <c r="B12" s="4">
        <f>SUMIFS(Contable!$D:$D,Contable!$H:$H, B$1,Contable!$E:$E, "prestamo",Contable!$C:$C,"Ingreso")</f>
        <v>0</v>
      </c>
      <c r="C12" s="4">
        <f>SUMIFS(Contable!$D:$D,Contable!$H:$H, C$1,Contable!$E:$E, "prestamo",Contable!$C:$C,"Ingreso")</f>
        <v>473240</v>
      </c>
      <c r="D12" s="4">
        <f>SUMIFS(Contable!$D:$D,Contable!$H:$H, D$1,Contable!$E:$E, "prestamo",Contable!$C:$C,"Ingreso")</f>
        <v>105000</v>
      </c>
      <c r="E12" s="4">
        <f>SUMIFS(Contable!$D:$D,Contable!$H:$H, E$1,Contable!$E:$E, "prestamo",Contable!$C:$C,"Ingreso")</f>
        <v>411952</v>
      </c>
      <c r="F12" s="4">
        <f>SUMIFS(Contable!$D:$D,Contable!$H:$H, F$1,Contable!$E:$E, "prestamo",Contable!$C:$C,"Ingreso")</f>
        <v>168000</v>
      </c>
      <c r="G12" s="4">
        <f>SUMIFS(Contable!$D:$D,Contable!$H:$H, G$1,Contable!$E:$E, "prestamo",Contable!$C:$C,"Ingreso")</f>
        <v>55000</v>
      </c>
      <c r="H12" s="4">
        <f>SUMIFS(Contable!$D:$D,Contable!$H:$H, H$1,Contable!$E:$E, "prestamo",Contable!$C:$C,"Ingreso")</f>
        <v>0</v>
      </c>
      <c r="I12" s="4">
        <f>SUMIFS(Contable!$D:$D,Contable!$H:$H, I$1,Contable!$E:$E, "prestamo",Contable!$C:$C,"Ingreso")</f>
        <v>0</v>
      </c>
      <c r="J12" s="4">
        <f>SUMIFS(Contable!$D:$D,Contable!$H:$H, J$1,Contable!$E:$E, "prestamo",Contable!$C:$C,"Ingreso")</f>
        <v>0</v>
      </c>
      <c r="K12" s="4">
        <f>SUMIFS(Contable!$D:$D,Contable!$H:$H, K$1,Contable!$E:$E, "prestamo",Contable!$C:$C,"Ingreso")</f>
        <v>0</v>
      </c>
      <c r="L12" s="4">
        <f>SUMIFS(Contable!$D:$D,Contable!$H:$H, L$1,Contable!$E:$E, "prestamo",Contable!$C:$C,"Ingreso")</f>
        <v>0</v>
      </c>
      <c r="M12" s="4">
        <f>SUMIFS(Finanzas!$B:$B,Finanzas!$F:$F, M$1,Finanzas!$E:$E, "prestamo")</f>
        <v>0</v>
      </c>
      <c r="N12" s="4">
        <f>SUMIFS(Finanzas!$B:$B,Finanzas!$F:$F, N$1,Finanzas!$E:$E, "prestamo")</f>
        <v>0</v>
      </c>
    </row>
    <row r="13" spans="1:14" ht="15.75" customHeight="1" x14ac:dyDescent="0.25">
      <c r="A13" s="3" t="s">
        <v>167</v>
      </c>
      <c r="B13" s="4">
        <f>SUMIFS(Contable!$D:$D,Contable!$H:$H, B$1,Contable!$E:$E, "uber",Contable!$C:$C,"Ingreso")+SUMIFS(Contable!$D:$D,Contable!$H:$H, B$1,Contable!$E:$E, "trabajo",Contable!$C:$C,"Ingreso")</f>
        <v>453900</v>
      </c>
      <c r="C13" s="4">
        <f>SUMIFS(Contable!$D:$D,Contable!$H:$H, C$1,Contable!$E:$E, "uber",Contable!$C:$C,"Ingreso")+SUMIFS(Contable!$D:$D,Contable!$H:$H, C$1,Contable!$E:$E, "trabajo",Contable!$C:$C,"Ingreso")</f>
        <v>0</v>
      </c>
      <c r="D13" s="4">
        <f>SUMIFS(Contable!$D:$D,Contable!$H:$H, D$1,Contable!$E:$E, "uber",Contable!$C:$C,"Ingreso")+SUMIFS(Contable!$D:$D,Contable!$H:$H, D$1,Contable!$E:$E, "trabajo",Contable!$C:$C,"Ingreso")</f>
        <v>345209</v>
      </c>
      <c r="E13" s="4">
        <f>SUMIFS(Contable!$D:$D,Contable!$H:$H, E$1,Contable!$E:$E, "uber",Contable!$C:$C,"Ingreso")+SUMIFS(Contable!$D:$D,Contable!$H:$H, E$1,Contable!$E:$E, "trabajo",Contable!$C:$C,"Ingreso")</f>
        <v>792</v>
      </c>
      <c r="F13" s="4">
        <f>SUMIFS(Contable!$D:$D,Contable!$H:$H, F$1,Contable!$E:$E, "uber",Contable!$C:$C,"Ingreso")+SUMIFS(Contable!$D:$D,Contable!$H:$H, F$1,Contable!$E:$E, "trabajo",Contable!$C:$C,"Ingreso")</f>
        <v>3100</v>
      </c>
      <c r="G13" s="4">
        <f>SUMIFS(Contable!$D:$D,Contable!$H:$H, G$1,Contable!$E:$E, "uber",Contable!$C:$C,"Ingreso")+SUMIFS(Contable!$D:$D,Contable!$H:$H, G$1,Contable!$E:$E, "trabajo",Contable!$C:$C,"Ingreso")</f>
        <v>0</v>
      </c>
      <c r="H13" s="4">
        <f>SUMIFS(Contable!$D:$D,Contable!$H:$H, H$1,Contable!$E:$E, "uber",Contable!$C:$C,"Ingreso")+SUMIFS(Contable!$D:$D,Contable!$H:$H, H$1,Contable!$E:$E, "trabajo",Contable!$C:$C,"Ingreso")</f>
        <v>65000</v>
      </c>
      <c r="I13" s="4">
        <f>SUMIFS(Contable!$D:$D,Contable!$H:$H, I$1,Contable!$E:$E, "uber",Contable!$C:$C,"Ingreso")+SUMIFS(Contable!$D:$D,Contable!$H:$H, I$1,Contable!$E:$E, "trabajo",Contable!$C:$C,"Ingreso")</f>
        <v>12000</v>
      </c>
      <c r="J13" s="4">
        <f>SUMIFS(Contable!$D:$D,Contable!$H:$H, J$1,Contable!$E:$E, "uber",Contable!$C:$C,"Ingreso")+SUMIFS(Contable!$D:$D,Contable!$H:$H, J$1,Contable!$E:$E, "trabajo",Contable!$C:$C,"Ingreso")</f>
        <v>3000</v>
      </c>
      <c r="K13" s="4">
        <f>SUMIFS(Contable!$D:$D,Contable!$H:$H, K$1,Contable!$E:$E, "uber",Contable!$C:$C,"Ingreso")+SUMIFS(Contable!$D:$D,Contable!$H:$H, K$1,Contable!$E:$E, "trabajo",Contable!$C:$C,"Ingreso")</f>
        <v>0</v>
      </c>
      <c r="L13" s="4">
        <f>SUMIFS(Contable!$D:$D,Contable!$H:$H, L$1,Contable!$E:$E, "uber",Contable!$C:$C,"Ingreso")+SUMIFS(Contable!$D:$D,Contable!$H:$H, L$1,Contable!$E:$E, "trabajo",Contable!$C:$C,"Ingreso")</f>
        <v>0</v>
      </c>
      <c r="M13" s="4">
        <f>SUMIFS(Finanzas!$B:$B,Finanzas!$F:$F, M$1,Finanzas!$E:$E, "uber")+SUMIFS(Finanzas!$B:$B,Finanzas!$F:$F, M$1,Finanzas!$E:$E, "trabajo")</f>
        <v>0</v>
      </c>
      <c r="N13" s="4">
        <f>SUMIFS(Finanzas!$B:$B,Finanzas!$F:$F, N$1,Finanzas!$E:$E, "uber")+SUMIFS(Finanzas!$B:$B,Finanzas!$F:$F, N$1,Finanzas!$E:$E, "trabajo")</f>
        <v>0</v>
      </c>
    </row>
    <row r="14" spans="1:14" ht="15.75" customHeight="1" x14ac:dyDescent="0.25">
      <c r="A14" s="3" t="s">
        <v>157</v>
      </c>
      <c r="B14" s="4">
        <f>SUMIFS(Contable!$D:$D,Contable!$H:$H, B$1,Contable!$E:$E, "frasco",Contable!$C:$C,"Ingreso")</f>
        <v>169520</v>
      </c>
      <c r="C14" s="4">
        <f>SUMIFS(Contable!$D:$D,Contable!$H:$H, C$1,Contable!$E:$E, "frasco",Contable!$C:$C,"Ingreso")</f>
        <v>169747</v>
      </c>
      <c r="D14" s="4">
        <f>SUMIFS(Contable!$D:$D,Contable!$H:$H, D$1,Contable!$E:$E, "frasco",Contable!$C:$C,"Ingreso")</f>
        <v>176561</v>
      </c>
      <c r="E14" s="4">
        <f>SUMIFS(Contable!$D:$D,Contable!$H:$H, E$1,Contable!$E:$E, "frasco",Contable!$C:$C,"Ingreso")</f>
        <v>214251</v>
      </c>
      <c r="F14" s="4">
        <f>SUMIFS(Contable!$D:$D,Contable!$H:$H, F$1,Contable!$E:$E, "frasco",Contable!$C:$C,"Ingreso")</f>
        <v>262000</v>
      </c>
      <c r="G14" s="4">
        <f>SUMIFS(Contable!$D:$D,Contable!$H:$H, G$1,Contable!$E:$E, "frasco",Contable!$C:$C,"Ingreso")</f>
        <v>195643</v>
      </c>
      <c r="H14" s="4">
        <f>SUMIFS(Contable!$D:$D,Contable!$H:$H, H$1,Contable!$E:$E, "frasco",Contable!$C:$C,"Ingreso")</f>
        <v>190000</v>
      </c>
      <c r="I14" s="4">
        <f>SUMIFS(Contable!$D:$D,Contable!$H:$H, I$1,Contable!$E:$E, "frasco",Contable!$C:$C,"Ingreso")</f>
        <v>201000</v>
      </c>
      <c r="J14" s="4">
        <f>SUMIFS(Contable!$D:$D,Contable!$H:$H, J$1,Contable!$E:$E, "frasco",Contable!$C:$C,"Ingreso")</f>
        <v>300821</v>
      </c>
      <c r="K14" s="4">
        <f>SUMIFS(Contable!$D:$D,Contable!$H:$H, K$1,Contable!$E:$E, "frasco",Contable!$C:$C,"Ingreso")</f>
        <v>0</v>
      </c>
      <c r="L14" s="4">
        <f>SUMIFS(Contable!$D:$D,Contable!$H:$H, L$1,Contable!$E:$E, "frasco",Contable!$C:$C,"Ingreso")</f>
        <v>0</v>
      </c>
      <c r="M14" s="4">
        <f>SUMIFS(Finanzas!N:N,Finanzas!R:R, "Diciembre 2025",Finanzas!Q:Q, "frasco")</f>
        <v>0</v>
      </c>
      <c r="N14" s="4">
        <f ca="1">SUMIFS(Finanzas!O:O,Finanzas!S:S, "Diciembre 2025",Finanzas!R:R, "frasco")</f>
        <v>0</v>
      </c>
    </row>
    <row r="15" spans="1:14" ht="15.75" customHeight="1" x14ac:dyDescent="0.25">
      <c r="A15" s="3" t="s">
        <v>186</v>
      </c>
      <c r="B15" s="4">
        <f>SUMIFS(Contable!$D:$D,Contable!$H:$H, B$1,Contable!$E:$E, "Inversion",Contable!$C:$C,"Ingreso")</f>
        <v>0</v>
      </c>
      <c r="C15" s="4">
        <f>SUMIFS(Contable!$D:$D,Contable!$H:$H, C$1,Contable!$E:$E, "Inversion",Contable!$C:$C,"Ingreso")</f>
        <v>0</v>
      </c>
      <c r="D15" s="4">
        <f>SUMIFS(Contable!$D:$D,Contable!$H:$H, D$1,Contable!$E:$E, "Inversion",Contable!$C:$C,"Ingreso")</f>
        <v>1723350</v>
      </c>
      <c r="E15" s="4">
        <f>SUMIFS(Contable!$D:$D,Contable!$H:$H, E$1,Contable!$E:$E, "Inversion",Contable!$C:$C,"Ingreso")</f>
        <v>2857001</v>
      </c>
      <c r="F15" s="4">
        <f>SUMIFS(Contable!$D:$D,Contable!$H:$H, F$1,Contable!$E:$E, "Inversion",Contable!$C:$C,"Ingreso")</f>
        <v>1973500</v>
      </c>
      <c r="G15" s="4">
        <f>SUMIFS(Contable!$D:$D,Contable!$H:$H, G$1,Contable!$E:$E, "Inversion",Contable!$C:$C,"Ingreso")</f>
        <v>3631000</v>
      </c>
      <c r="H15" s="4">
        <f>SUMIFS(Contable!$D:$D,Contable!$H:$H, H$1,Contable!$E:$E, "Inversion",Contable!$C:$C,"Ingreso")</f>
        <v>6827000</v>
      </c>
      <c r="I15" s="4">
        <f>SUMIFS(Contable!$D:$D,Contable!$H:$H, I$1,Contable!$E:$E, "Inversion",Contable!$C:$C,"Ingreso")</f>
        <v>2434000</v>
      </c>
      <c r="J15" s="4">
        <f>SUMIFS(Contable!$D:$D,Contable!$H:$H, J$1,Contable!$E:$E, "Inversion",Contable!$C:$C,"Ingreso")</f>
        <v>0</v>
      </c>
      <c r="K15" s="4">
        <f>SUMIFS(Contable!$D:$D,Contable!$H:$H, K$1,Contable!$E:$E, "Inversion",Contable!$C:$C,"Ingreso")</f>
        <v>0</v>
      </c>
      <c r="L15" s="4">
        <f>SUMIFS(Contable!$D:$D,Contable!$H:$H, L$1,Contable!$E:$E, "Inversion",Contable!$C:$C,"Ingreso")</f>
        <v>0</v>
      </c>
      <c r="M15" s="4">
        <f>SUMIFS(Finanzas!$B:$B,Finanzas!$F:$F, M$1,Finanzas!$E:$E, "Inversion")</f>
        <v>0</v>
      </c>
      <c r="N15" s="4">
        <f>SUMIFS(Finanzas!$B:$B,Finanzas!$F:$F, N$1,Finanzas!$E:$E, "Inversion")</f>
        <v>0</v>
      </c>
    </row>
    <row r="16" spans="1:14" ht="15.75" customHeight="1" x14ac:dyDescent="0.25">
      <c r="A16" s="3" t="s">
        <v>189</v>
      </c>
      <c r="B16" s="4">
        <f>SUMIFS(Contable!$D:$D,Contable!$H:$H, B$1,Contable!$E:$E, "Consultoria",Contable!$C:$C,"Ingreso")</f>
        <v>0</v>
      </c>
      <c r="C16" s="4">
        <f>SUMIFS(Contable!$D:$D,Contable!$H:$H, C$1,Contable!$E:$E, "Consultoria",Contable!$C:$C,"Ingreso")</f>
        <v>0</v>
      </c>
      <c r="D16" s="4">
        <f>SUMIFS(Contable!$D:$D,Contable!$H:$H, D$1,Contable!$E:$E, "Consultoria",Contable!$C:$C,"Ingreso")</f>
        <v>0</v>
      </c>
      <c r="E16" s="4">
        <f>SUMIFS(Contable!$D:$D,Contable!$H:$H, E$1,Contable!$E:$E, "Consultoria",Contable!$C:$C,"Ingreso")</f>
        <v>0</v>
      </c>
      <c r="F16" s="4">
        <f>SUMIFS(Contable!$D:$D,Contable!$H:$H, F$1,Contable!$E:$E, "Consultoria",Contable!$C:$C,"Ingreso")</f>
        <v>0</v>
      </c>
      <c r="G16" s="4">
        <f>SUMIFS(Contable!$D:$D,Contable!$H:$H, G$1,Contable!$E:$E, "Consultoria",Contable!$C:$C,"Ingreso")</f>
        <v>0</v>
      </c>
      <c r="H16" s="4">
        <f>SUMIFS(Contable!$D:$D,Contable!$H:$H, H$1,Contable!$E:$E, "Consultoria",Contable!$C:$C,"Ingreso")</f>
        <v>0</v>
      </c>
      <c r="I16" s="4">
        <f>SUMIFS(Contable!$D:$D,Contable!$H:$H, I$1,Contable!$E:$E, "Consultoria",Contable!$C:$C,"Ingreso")</f>
        <v>390000</v>
      </c>
      <c r="J16" s="4">
        <f>SUMIFS(Contable!$D:$D,Contable!$H:$H, J$1,Contable!$E:$E, "Consultoria",Contable!$C:$C,"Ingreso")</f>
        <v>853000</v>
      </c>
      <c r="K16" s="4">
        <f>SUMIFS(Contable!$D:$D,Contable!$H:$H, K$1,Contable!$E:$E, "Consultoria",Contable!$C:$C,"Ingreso")</f>
        <v>0</v>
      </c>
      <c r="L16" s="4">
        <f>SUMIFS(Contable!$D:$D,Contable!$H:$H, L$1,Contable!$E:$E, "Consultoria",Contable!$C:$C,"Ingreso")</f>
        <v>0</v>
      </c>
      <c r="M16" s="4">
        <f>SUMIFS(Contable!$D:$D,Contable!$H:$H, M$1,Contable!$E:$E, "Consultoria",Contable!$C:$C,"Ingreso")</f>
        <v>0</v>
      </c>
      <c r="N16" s="4">
        <f>SUMIFS(Contable!$D:$D,Contable!$H:$H, N$1,Contable!$E:$E, "Consultoria",Contable!$C:$C,"Ingreso")</f>
        <v>0</v>
      </c>
    </row>
    <row r="17" spans="1:15" ht="15.75" customHeight="1" x14ac:dyDescent="0.25">
      <c r="A17" s="20" t="s">
        <v>196</v>
      </c>
      <c r="B17" s="21">
        <f t="shared" ref="B17:J17" si="0">SUM(B12:B16)+B2</f>
        <v>3871420</v>
      </c>
      <c r="C17" s="21">
        <f t="shared" si="0"/>
        <v>2818687</v>
      </c>
      <c r="D17" s="21">
        <f t="shared" si="0"/>
        <v>4527120</v>
      </c>
      <c r="E17" s="21">
        <f t="shared" si="0"/>
        <v>5661231</v>
      </c>
      <c r="F17" s="21">
        <f t="shared" si="0"/>
        <v>4720600</v>
      </c>
      <c r="G17" s="21">
        <f t="shared" si="0"/>
        <v>6290643</v>
      </c>
      <c r="H17" s="21">
        <f t="shared" si="0"/>
        <v>9388000</v>
      </c>
      <c r="I17" s="21">
        <f t="shared" si="0"/>
        <v>6585376</v>
      </c>
      <c r="J17" s="21">
        <f t="shared" si="0"/>
        <v>3590821</v>
      </c>
      <c r="K17" s="21">
        <f t="shared" ref="K17:N17" si="1">SUM(K12:K15)+K2</f>
        <v>0</v>
      </c>
      <c r="L17" s="21">
        <f t="shared" si="1"/>
        <v>0</v>
      </c>
      <c r="M17" s="21">
        <f t="shared" si="1"/>
        <v>0</v>
      </c>
      <c r="N17" s="21">
        <f t="shared" ca="1" si="1"/>
        <v>0</v>
      </c>
    </row>
    <row r="18" spans="1:15" ht="15.75" customHeight="1" x14ac:dyDescent="0.25">
      <c r="A18" s="20" t="s">
        <v>198</v>
      </c>
      <c r="B18" s="21">
        <f t="shared" ref="B18:N18" si="2">SUM(B3:B11)</f>
        <v>2393043.75</v>
      </c>
      <c r="C18" s="21">
        <f t="shared" si="2"/>
        <v>2051687</v>
      </c>
      <c r="D18" s="21">
        <f t="shared" si="2"/>
        <v>4082447</v>
      </c>
      <c r="E18" s="21">
        <f t="shared" si="2"/>
        <v>1485687</v>
      </c>
      <c r="F18" s="21">
        <f t="shared" si="2"/>
        <v>2811993</v>
      </c>
      <c r="G18" s="21">
        <f t="shared" si="2"/>
        <v>2249471</v>
      </c>
      <c r="H18" s="21">
        <f t="shared" si="2"/>
        <v>2448016.25</v>
      </c>
      <c r="I18" s="21">
        <f t="shared" si="2"/>
        <v>3035930</v>
      </c>
      <c r="J18" s="21">
        <f t="shared" si="2"/>
        <v>1163902</v>
      </c>
      <c r="K18" s="21">
        <f t="shared" si="2"/>
        <v>0</v>
      </c>
      <c r="L18" s="21">
        <f t="shared" si="2"/>
        <v>0</v>
      </c>
      <c r="M18" s="21">
        <f t="shared" si="2"/>
        <v>0</v>
      </c>
      <c r="N18" s="21">
        <f t="shared" si="2"/>
        <v>0</v>
      </c>
    </row>
    <row r="19" spans="1:15" ht="15.75" customHeight="1" x14ac:dyDescent="0.25">
      <c r="A19" s="20" t="s">
        <v>17</v>
      </c>
      <c r="B19" s="21">
        <f t="shared" ref="B19:M19" si="3">B17-B18</f>
        <v>1478376.25</v>
      </c>
      <c r="C19" s="21">
        <f t="shared" si="3"/>
        <v>767000</v>
      </c>
      <c r="D19" s="21">
        <f t="shared" si="3"/>
        <v>444673</v>
      </c>
      <c r="E19" s="21">
        <f t="shared" si="3"/>
        <v>4175544</v>
      </c>
      <c r="F19" s="21">
        <f t="shared" si="3"/>
        <v>1908607</v>
      </c>
      <c r="G19" s="21">
        <f t="shared" si="3"/>
        <v>4041172</v>
      </c>
      <c r="H19" s="21">
        <f t="shared" si="3"/>
        <v>6939983.75</v>
      </c>
      <c r="I19" s="21">
        <f t="shared" si="3"/>
        <v>3549446</v>
      </c>
      <c r="J19" s="21">
        <f t="shared" si="3"/>
        <v>2426919</v>
      </c>
      <c r="K19" s="21">
        <f t="shared" si="3"/>
        <v>0</v>
      </c>
      <c r="L19" s="21">
        <f t="shared" si="3"/>
        <v>0</v>
      </c>
      <c r="M19" s="21">
        <f t="shared" si="3"/>
        <v>0</v>
      </c>
      <c r="N19" s="21">
        <f ca="1">N2-SUM(N3:N11)+SUM(N12:N15)</f>
        <v>0</v>
      </c>
    </row>
    <row r="20" spans="1:15" ht="15.75" customHeight="1" x14ac:dyDescent="0.25">
      <c r="A20" s="20" t="s">
        <v>200</v>
      </c>
      <c r="B20" s="21">
        <f>B19</f>
        <v>1478376.25</v>
      </c>
      <c r="C20" s="21">
        <f t="shared" ref="C20:N20" si="4">C19+B20</f>
        <v>2245376.25</v>
      </c>
      <c r="D20" s="21">
        <f t="shared" si="4"/>
        <v>2690049.25</v>
      </c>
      <c r="E20" s="21">
        <f t="shared" si="4"/>
        <v>6865593.25</v>
      </c>
      <c r="F20" s="21">
        <f t="shared" si="4"/>
        <v>8774200.25</v>
      </c>
      <c r="G20" s="21">
        <f t="shared" si="4"/>
        <v>12815372.25</v>
      </c>
      <c r="H20" s="21">
        <f t="shared" si="4"/>
        <v>19755356</v>
      </c>
      <c r="I20" s="21">
        <f t="shared" si="4"/>
        <v>23304802</v>
      </c>
      <c r="J20" s="21">
        <f t="shared" si="4"/>
        <v>25731721</v>
      </c>
      <c r="K20" s="21">
        <f t="shared" si="4"/>
        <v>25731721</v>
      </c>
      <c r="L20" s="21">
        <f t="shared" si="4"/>
        <v>25731721</v>
      </c>
      <c r="M20" s="21">
        <f t="shared" si="4"/>
        <v>25731721</v>
      </c>
      <c r="N20" s="21">
        <f t="shared" ca="1" si="4"/>
        <v>25731721</v>
      </c>
    </row>
    <row r="21" spans="1:15" ht="15.75" customHeight="1" x14ac:dyDescent="0.25">
      <c r="A21" s="1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5" ht="15.75" customHeight="1" x14ac:dyDescent="0.25">
      <c r="A22" s="25" t="s">
        <v>203</v>
      </c>
      <c r="B22" s="26">
        <f t="shared" ref="B22:O22" si="5">B3+B4+B5+B7+B8+B9+B10+B11</f>
        <v>1918043.75</v>
      </c>
      <c r="C22" s="26">
        <f t="shared" si="5"/>
        <v>1191687</v>
      </c>
      <c r="D22" s="26">
        <f t="shared" si="5"/>
        <v>3202447</v>
      </c>
      <c r="E22" s="26">
        <f t="shared" si="5"/>
        <v>1214687</v>
      </c>
      <c r="F22" s="26">
        <f t="shared" si="5"/>
        <v>1656993</v>
      </c>
      <c r="G22" s="26">
        <f t="shared" si="5"/>
        <v>1619471</v>
      </c>
      <c r="H22" s="26">
        <f t="shared" si="5"/>
        <v>1518016.25</v>
      </c>
      <c r="I22" s="26">
        <f t="shared" si="5"/>
        <v>1865930</v>
      </c>
      <c r="J22" s="26">
        <f t="shared" si="5"/>
        <v>1024670</v>
      </c>
      <c r="K22" s="26">
        <f t="shared" si="5"/>
        <v>0</v>
      </c>
      <c r="L22" s="26">
        <f t="shared" si="5"/>
        <v>0</v>
      </c>
      <c r="M22" s="26">
        <f t="shared" si="5"/>
        <v>0</v>
      </c>
      <c r="N22" s="26">
        <f t="shared" si="5"/>
        <v>0</v>
      </c>
      <c r="O22" s="26">
        <f t="shared" si="5"/>
        <v>0</v>
      </c>
    </row>
    <row r="23" spans="1:15" ht="15.75" customHeight="1" x14ac:dyDescent="0.25">
      <c r="A23" s="1"/>
      <c r="B23" s="27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5" ht="12.5" x14ac:dyDescent="0.25">
      <c r="A24" s="1"/>
      <c r="B24" s="27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5" ht="12.5" x14ac:dyDescent="0.25">
      <c r="A25" s="1"/>
      <c r="B25" s="27"/>
      <c r="C25" s="24"/>
      <c r="D25" s="24"/>
      <c r="E25" s="24"/>
      <c r="F25" s="24"/>
      <c r="G25" s="24"/>
      <c r="H25" s="24">
        <v>2618000</v>
      </c>
      <c r="I25" s="24">
        <f>H25*1.037</f>
        <v>2714866</v>
      </c>
      <c r="J25" s="24">
        <f>I25*1.02</f>
        <v>2769163.32</v>
      </c>
      <c r="K25" s="24">
        <f>J25*1.016</f>
        <v>2813469.9331199997</v>
      </c>
      <c r="L25" s="24">
        <f>K25*1.03</f>
        <v>2897874.0311135999</v>
      </c>
      <c r="M25" s="24">
        <f>L25*1.02</f>
        <v>2955831.5117358719</v>
      </c>
      <c r="N25" s="24">
        <f>M25*1.016</f>
        <v>3003124.8159236461</v>
      </c>
    </row>
    <row r="26" spans="1:15" ht="12.5" x14ac:dyDescent="0.25">
      <c r="A26" s="1"/>
      <c r="B26" s="2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2.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2.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2.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2.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2.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2.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2.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2.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2.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2.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2.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1:14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1:14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1:14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1:14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1:14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1:14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1:14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1:14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1:14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1:14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1:14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1:14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1:14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1:14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1:14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1:14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1:14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1:14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1:14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1:14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1:14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1:14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1:14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1:14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1:14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1:14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1:14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1:14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1:14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1:14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1:14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1:14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1:14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1:14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1:14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1:14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1:14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1:14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1:14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1:14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1:14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1:14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1:14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1:14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1:14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1:14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1:14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1:14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1:14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1:14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1:14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1:14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1:14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1:14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1:14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1:14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1:14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1:14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1:14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1:14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1:14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1:14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1:14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1:14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1:14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1:14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1:14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1:14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1:14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1:14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1:14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1:14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1:14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1:14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1:14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1:14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1:14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  <row r="1000" spans="1:14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</row>
    <row r="1001" spans="1:14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</row>
    <row r="1003" spans="1:14" ht="12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</row>
    <row r="1004" spans="1:14" ht="12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ht="12.5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</row>
    <row r="1006" spans="1:14" ht="12.5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</row>
    <row r="1007" spans="1:14" ht="12.5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ht="12.5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</row>
    <row r="1009" spans="1:14" ht="12.5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</row>
    <row r="1010" spans="1:14" ht="12.5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ht="12.5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</row>
    <row r="1012" spans="1:14" ht="12.5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47"/>
  <sheetViews>
    <sheetView workbookViewId="0"/>
  </sheetViews>
  <sheetFormatPr baseColWidth="10" defaultColWidth="12.6328125" defaultRowHeight="15.75" customHeight="1" x14ac:dyDescent="0.25"/>
  <cols>
    <col min="1" max="1" width="27.90625" customWidth="1"/>
    <col min="2" max="2" width="21.08984375" customWidth="1"/>
    <col min="3" max="3" width="13.26953125" customWidth="1"/>
    <col min="5" max="5" width="15.6328125" customWidth="1"/>
    <col min="7" max="7" width="16" customWidth="1"/>
  </cols>
  <sheetData>
    <row r="1" spans="1:8" ht="12.5" x14ac:dyDescent="0.25">
      <c r="G1" s="5" t="s">
        <v>1</v>
      </c>
      <c r="H1" s="5">
        <v>700000</v>
      </c>
    </row>
    <row r="2" spans="1:8" ht="22.5" customHeight="1" x14ac:dyDescent="0.2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G2" s="5" t="s">
        <v>1</v>
      </c>
      <c r="H2" s="5">
        <v>1000000</v>
      </c>
    </row>
    <row r="3" spans="1:8" ht="22.5" customHeight="1" x14ac:dyDescent="0.25">
      <c r="A3" s="7" t="s">
        <v>8</v>
      </c>
      <c r="B3" s="7">
        <v>920000</v>
      </c>
      <c r="C3" s="8">
        <v>45870</v>
      </c>
      <c r="D3" s="7" t="s">
        <v>12</v>
      </c>
      <c r="G3" s="5" t="s">
        <v>1</v>
      </c>
      <c r="H3" s="5">
        <v>100000</v>
      </c>
    </row>
    <row r="4" spans="1:8" ht="22.5" customHeight="1" x14ac:dyDescent="0.25">
      <c r="A4" s="7" t="s">
        <v>15</v>
      </c>
      <c r="B4" s="7">
        <v>450000</v>
      </c>
      <c r="C4" s="8">
        <v>45870</v>
      </c>
      <c r="D4" s="7" t="s">
        <v>12</v>
      </c>
      <c r="H4" s="5">
        <f>1800000</f>
        <v>1800000</v>
      </c>
    </row>
    <row r="5" spans="1:8" ht="22.5" customHeight="1" x14ac:dyDescent="0.3">
      <c r="A5" s="7" t="s">
        <v>19</v>
      </c>
      <c r="B5" s="7">
        <f>1260000</f>
        <v>1260000</v>
      </c>
      <c r="C5" s="8">
        <v>45870</v>
      </c>
      <c r="D5" s="7" t="s">
        <v>23</v>
      </c>
      <c r="G5" s="10" t="s">
        <v>26</v>
      </c>
      <c r="H5" s="10"/>
    </row>
    <row r="6" spans="1:8" ht="22.5" customHeight="1" x14ac:dyDescent="0.3">
      <c r="A6" s="7" t="s">
        <v>28</v>
      </c>
      <c r="B6" s="7">
        <v>180000</v>
      </c>
      <c r="C6" s="8">
        <v>45904</v>
      </c>
      <c r="D6" s="7" t="s">
        <v>30</v>
      </c>
      <c r="E6" s="7">
        <f t="shared" ref="E6:E7" si="0">B6/20000</f>
        <v>9</v>
      </c>
      <c r="G6" s="10" t="s">
        <v>30</v>
      </c>
      <c r="H6" s="10">
        <f>SUMIF(D:D, "Sueldos", B:B)</f>
        <v>9231000</v>
      </c>
    </row>
    <row r="7" spans="1:8" ht="22.5" customHeight="1" x14ac:dyDescent="0.3">
      <c r="A7" s="7" t="s">
        <v>34</v>
      </c>
      <c r="B7" s="7">
        <v>160000</v>
      </c>
      <c r="C7" s="8">
        <v>45915</v>
      </c>
      <c r="D7" s="7" t="s">
        <v>30</v>
      </c>
      <c r="E7" s="7">
        <f t="shared" si="0"/>
        <v>8</v>
      </c>
      <c r="G7" s="10" t="s">
        <v>12</v>
      </c>
      <c r="H7" s="10">
        <f>SUMIF(D:D, "Arriendo", B:B)</f>
        <v>1370000</v>
      </c>
    </row>
    <row r="8" spans="1:8" ht="22.5" customHeight="1" x14ac:dyDescent="0.3">
      <c r="A8" s="7" t="s">
        <v>39</v>
      </c>
      <c r="B8" s="7">
        <v>450000</v>
      </c>
      <c r="C8" s="8">
        <v>45939</v>
      </c>
      <c r="D8" s="7" t="s">
        <v>30</v>
      </c>
      <c r="E8" s="7">
        <f t="shared" ref="E8:E12" si="1">B8/25000</f>
        <v>18</v>
      </c>
      <c r="G8" s="10" t="s">
        <v>23</v>
      </c>
      <c r="H8" s="10">
        <f>SUMIF(D:D, "Insumos", B:B)</f>
        <v>1513000</v>
      </c>
    </row>
    <row r="9" spans="1:8" ht="22.5" customHeight="1" x14ac:dyDescent="0.3">
      <c r="A9" s="7" t="s">
        <v>42</v>
      </c>
      <c r="B9" s="7">
        <v>400000</v>
      </c>
      <c r="C9" s="8">
        <v>45939</v>
      </c>
      <c r="D9" s="7" t="s">
        <v>30</v>
      </c>
      <c r="E9" s="7">
        <f t="shared" si="1"/>
        <v>16</v>
      </c>
      <c r="G9" s="10" t="s">
        <v>43</v>
      </c>
      <c r="H9" s="10">
        <f>SUM(H6:H8)</f>
        <v>12114000</v>
      </c>
    </row>
    <row r="10" spans="1:8" ht="22.5" customHeight="1" x14ac:dyDescent="0.25">
      <c r="A10" s="7" t="s">
        <v>45</v>
      </c>
      <c r="B10" s="7">
        <v>62500</v>
      </c>
      <c r="C10" s="8">
        <v>45952</v>
      </c>
      <c r="D10" s="7" t="s">
        <v>30</v>
      </c>
      <c r="E10" s="7">
        <f t="shared" si="1"/>
        <v>2.5</v>
      </c>
    </row>
    <row r="11" spans="1:8" ht="22.5" customHeight="1" x14ac:dyDescent="0.25">
      <c r="A11" s="7" t="s">
        <v>46</v>
      </c>
      <c r="B11" s="7">
        <v>125000</v>
      </c>
      <c r="C11" s="8">
        <v>45952</v>
      </c>
      <c r="D11" s="7" t="s">
        <v>30</v>
      </c>
      <c r="E11" s="7">
        <f t="shared" si="1"/>
        <v>5</v>
      </c>
      <c r="G11" s="5">
        <f>300000*11</f>
        <v>3300000</v>
      </c>
      <c r="H11" s="5">
        <f>360*30000</f>
        <v>10800000</v>
      </c>
    </row>
    <row r="12" spans="1:8" ht="22.5" customHeight="1" x14ac:dyDescent="0.3">
      <c r="A12" s="7" t="s">
        <v>49</v>
      </c>
      <c r="B12" s="7">
        <v>125000</v>
      </c>
      <c r="C12" s="8">
        <v>45955</v>
      </c>
      <c r="D12" s="7" t="s">
        <v>30</v>
      </c>
      <c r="E12" s="7">
        <f t="shared" si="1"/>
        <v>5</v>
      </c>
      <c r="H12" s="10">
        <f>SUMIF(D:D, "Arriendo", B:B)</f>
        <v>1370000</v>
      </c>
    </row>
    <row r="13" spans="1:8" ht="22.5" customHeight="1" x14ac:dyDescent="0.25">
      <c r="A13" s="7" t="s">
        <v>51</v>
      </c>
      <c r="B13" s="7">
        <v>63000</v>
      </c>
      <c r="C13" s="8">
        <v>45957</v>
      </c>
      <c r="D13" s="7" t="s">
        <v>23</v>
      </c>
    </row>
    <row r="14" spans="1:8" ht="22.5" customHeight="1" x14ac:dyDescent="0.25">
      <c r="A14" s="7" t="s">
        <v>52</v>
      </c>
      <c r="B14" s="7">
        <v>190000</v>
      </c>
      <c r="C14" s="8">
        <v>45957</v>
      </c>
      <c r="D14" s="7" t="s">
        <v>23</v>
      </c>
    </row>
    <row r="15" spans="1:8" ht="22.5" customHeight="1" x14ac:dyDescent="0.3">
      <c r="A15" s="7" t="s">
        <v>54</v>
      </c>
      <c r="B15" s="7">
        <v>350000</v>
      </c>
      <c r="C15" s="8">
        <v>45966</v>
      </c>
      <c r="D15" s="7" t="s">
        <v>30</v>
      </c>
      <c r="E15" s="7">
        <f t="shared" ref="E15:E20" si="2">B15/25000</f>
        <v>14</v>
      </c>
      <c r="H15" s="10">
        <f>SUMIF(D:D, "Insumos", B:B)</f>
        <v>1513000</v>
      </c>
    </row>
    <row r="16" spans="1:8" ht="22.5" customHeight="1" x14ac:dyDescent="0.25">
      <c r="A16" s="7" t="s">
        <v>56</v>
      </c>
      <c r="B16" s="7">
        <v>475000</v>
      </c>
      <c r="C16" s="8">
        <v>45971</v>
      </c>
      <c r="D16" s="7" t="s">
        <v>30</v>
      </c>
      <c r="E16" s="7">
        <f t="shared" si="2"/>
        <v>19</v>
      </c>
      <c r="H16" s="5">
        <f>SUM(H11:H15)</f>
        <v>13683000</v>
      </c>
    </row>
    <row r="17" spans="1:8" ht="22.5" customHeight="1" x14ac:dyDescent="0.25">
      <c r="A17" s="7" t="s">
        <v>60</v>
      </c>
      <c r="B17" s="7">
        <v>375000</v>
      </c>
      <c r="C17" s="8">
        <v>45995</v>
      </c>
      <c r="D17" s="7" t="s">
        <v>30</v>
      </c>
      <c r="E17" s="7">
        <f t="shared" si="2"/>
        <v>15</v>
      </c>
    </row>
    <row r="18" spans="1:8" ht="22.5" customHeight="1" x14ac:dyDescent="0.25">
      <c r="A18" s="7" t="s">
        <v>66</v>
      </c>
      <c r="B18" s="7">
        <v>437500</v>
      </c>
      <c r="C18" s="8">
        <v>45995</v>
      </c>
      <c r="D18" s="7" t="s">
        <v>30</v>
      </c>
      <c r="E18" s="7">
        <f t="shared" si="2"/>
        <v>17.5</v>
      </c>
    </row>
    <row r="19" spans="1:8" ht="22.5" customHeight="1" x14ac:dyDescent="0.25">
      <c r="A19" s="7" t="s">
        <v>69</v>
      </c>
      <c r="B19" s="7">
        <v>100000</v>
      </c>
      <c r="C19" s="8">
        <v>46014</v>
      </c>
      <c r="D19" s="7" t="s">
        <v>30</v>
      </c>
      <c r="E19" s="7">
        <f t="shared" si="2"/>
        <v>4</v>
      </c>
    </row>
    <row r="20" spans="1:8" ht="22.5" customHeight="1" x14ac:dyDescent="0.25">
      <c r="A20" s="7" t="s">
        <v>70</v>
      </c>
      <c r="B20" s="7">
        <v>437500</v>
      </c>
      <c r="C20" s="8">
        <v>46028</v>
      </c>
      <c r="D20" s="7" t="s">
        <v>30</v>
      </c>
      <c r="E20" s="7">
        <f t="shared" si="2"/>
        <v>17.5</v>
      </c>
      <c r="H20" s="5">
        <f>360*30000</f>
        <v>10800000</v>
      </c>
    </row>
    <row r="21" spans="1:8" ht="22.5" customHeight="1" x14ac:dyDescent="0.25">
      <c r="A21" s="7" t="s">
        <v>73</v>
      </c>
      <c r="B21" s="7">
        <v>460000</v>
      </c>
      <c r="C21" s="8">
        <v>46028</v>
      </c>
      <c r="D21" s="7" t="s">
        <v>30</v>
      </c>
      <c r="E21" s="7">
        <v>17.5</v>
      </c>
    </row>
    <row r="22" spans="1:8" ht="22.5" customHeight="1" x14ac:dyDescent="0.25">
      <c r="A22" s="7" t="s">
        <v>77</v>
      </c>
      <c r="B22" s="7">
        <v>337500</v>
      </c>
      <c r="C22" s="8">
        <v>46072</v>
      </c>
      <c r="D22" s="7" t="s">
        <v>30</v>
      </c>
      <c r="E22" s="7">
        <f t="shared" ref="E22:E23" si="3">B22/25000</f>
        <v>13.5</v>
      </c>
    </row>
    <row r="23" spans="1:8" ht="22.5" customHeight="1" x14ac:dyDescent="0.25">
      <c r="A23" s="7" t="s">
        <v>81</v>
      </c>
      <c r="B23" s="7">
        <f>25000*10</f>
        <v>250000</v>
      </c>
      <c r="C23" s="8">
        <v>46073</v>
      </c>
      <c r="D23" s="7" t="s">
        <v>30</v>
      </c>
      <c r="E23" s="7">
        <f t="shared" si="3"/>
        <v>10</v>
      </c>
    </row>
    <row r="24" spans="1:8" ht="22.5" customHeight="1" x14ac:dyDescent="0.25">
      <c r="A24" s="7" t="s">
        <v>83</v>
      </c>
      <c r="B24" s="7">
        <v>126000</v>
      </c>
      <c r="C24" s="8">
        <v>46091</v>
      </c>
      <c r="D24" s="7" t="s">
        <v>30</v>
      </c>
      <c r="E24" s="7">
        <f>B24/28000</f>
        <v>4.5</v>
      </c>
    </row>
    <row r="25" spans="1:8" ht="22.5" customHeight="1" x14ac:dyDescent="0.25">
      <c r="A25" s="7" t="s">
        <v>86</v>
      </c>
      <c r="B25" s="7">
        <v>495000</v>
      </c>
      <c r="C25" s="8">
        <v>46091</v>
      </c>
      <c r="D25" s="7" t="s">
        <v>30</v>
      </c>
      <c r="E25" s="7">
        <f t="shared" ref="E25:E40" si="4">B25/30000</f>
        <v>16.5</v>
      </c>
    </row>
    <row r="26" spans="1:8" ht="22.5" customHeight="1" x14ac:dyDescent="0.25">
      <c r="A26" s="7" t="s">
        <v>90</v>
      </c>
      <c r="B26" s="7">
        <v>555000</v>
      </c>
      <c r="C26" s="8">
        <v>46118</v>
      </c>
      <c r="D26" s="7" t="s">
        <v>30</v>
      </c>
      <c r="E26" s="7">
        <f t="shared" si="4"/>
        <v>18.5</v>
      </c>
    </row>
    <row r="27" spans="1:8" ht="22.5" customHeight="1" x14ac:dyDescent="0.25">
      <c r="A27" s="7" t="s">
        <v>92</v>
      </c>
      <c r="B27" s="7">
        <v>600000</v>
      </c>
      <c r="C27" s="8">
        <v>46118</v>
      </c>
      <c r="D27" s="7" t="s">
        <v>30</v>
      </c>
      <c r="E27" s="7">
        <f t="shared" si="4"/>
        <v>20</v>
      </c>
    </row>
    <row r="28" spans="1:8" ht="22.5" customHeight="1" x14ac:dyDescent="0.25">
      <c r="A28" s="7" t="s">
        <v>94</v>
      </c>
      <c r="B28" s="7">
        <v>525000</v>
      </c>
      <c r="C28" s="8">
        <v>46151</v>
      </c>
      <c r="D28" s="7" t="s">
        <v>30</v>
      </c>
      <c r="E28" s="7">
        <f t="shared" si="4"/>
        <v>17.5</v>
      </c>
    </row>
    <row r="29" spans="1:8" ht="22.5" customHeight="1" x14ac:dyDescent="0.25">
      <c r="A29" s="7" t="s">
        <v>96</v>
      </c>
      <c r="B29" s="7">
        <v>105000</v>
      </c>
      <c r="C29" s="8">
        <v>46151</v>
      </c>
      <c r="D29" s="7" t="s">
        <v>30</v>
      </c>
      <c r="E29" s="7">
        <f t="shared" si="4"/>
        <v>3.5</v>
      </c>
    </row>
    <row r="30" spans="1:8" ht="22.5" customHeight="1" x14ac:dyDescent="0.25">
      <c r="A30" s="7" t="s">
        <v>98</v>
      </c>
      <c r="B30" s="7">
        <v>495000</v>
      </c>
      <c r="C30" s="8">
        <v>46183</v>
      </c>
      <c r="D30" s="7" t="s">
        <v>30</v>
      </c>
      <c r="E30" s="7">
        <f t="shared" si="4"/>
        <v>16.5</v>
      </c>
    </row>
    <row r="31" spans="1:8" ht="22.5" customHeight="1" x14ac:dyDescent="0.25">
      <c r="A31" s="7" t="s">
        <v>100</v>
      </c>
      <c r="B31" s="7">
        <v>435000</v>
      </c>
      <c r="C31" s="8">
        <v>46184</v>
      </c>
      <c r="D31" s="7" t="s">
        <v>30</v>
      </c>
      <c r="E31" s="7">
        <f t="shared" si="4"/>
        <v>14.5</v>
      </c>
    </row>
    <row r="32" spans="1:8" ht="22.5" customHeight="1" x14ac:dyDescent="0.25">
      <c r="A32" s="7" t="s">
        <v>101</v>
      </c>
      <c r="B32" s="7">
        <v>735000</v>
      </c>
      <c r="C32" s="8">
        <v>46212</v>
      </c>
      <c r="D32" s="7" t="s">
        <v>30</v>
      </c>
      <c r="E32" s="7">
        <f t="shared" si="4"/>
        <v>24.5</v>
      </c>
    </row>
    <row r="33" spans="1:5" ht="22.5" customHeight="1" x14ac:dyDescent="0.25">
      <c r="A33" s="7" t="s">
        <v>103</v>
      </c>
      <c r="B33" s="7">
        <v>435000</v>
      </c>
      <c r="C33" s="8">
        <v>46214</v>
      </c>
      <c r="D33" s="7" t="s">
        <v>30</v>
      </c>
      <c r="E33" s="7">
        <f t="shared" si="4"/>
        <v>14.5</v>
      </c>
    </row>
    <row r="34" spans="1:5" ht="22.5" customHeight="1" x14ac:dyDescent="0.25">
      <c r="A34" s="7"/>
      <c r="B34" s="7"/>
      <c r="C34" s="8"/>
      <c r="D34" s="7"/>
      <c r="E34" s="7">
        <f t="shared" si="4"/>
        <v>0</v>
      </c>
    </row>
    <row r="35" spans="1:5" ht="22.5" customHeight="1" x14ac:dyDescent="0.25">
      <c r="A35" s="7"/>
      <c r="B35" s="7"/>
      <c r="C35" s="8"/>
      <c r="D35" s="7"/>
      <c r="E35" s="7">
        <f t="shared" si="4"/>
        <v>0</v>
      </c>
    </row>
    <row r="36" spans="1:5" ht="22.5" customHeight="1" x14ac:dyDescent="0.25">
      <c r="A36" s="7"/>
      <c r="B36" s="7"/>
      <c r="C36" s="8"/>
      <c r="D36" s="7"/>
      <c r="E36" s="7">
        <f t="shared" si="4"/>
        <v>0</v>
      </c>
    </row>
    <row r="37" spans="1:5" ht="22.5" customHeight="1" x14ac:dyDescent="0.25">
      <c r="A37" s="7"/>
      <c r="B37" s="7"/>
      <c r="C37" s="8"/>
      <c r="D37" s="7"/>
      <c r="E37" s="7">
        <f t="shared" si="4"/>
        <v>0</v>
      </c>
    </row>
    <row r="38" spans="1:5" ht="22.5" customHeight="1" x14ac:dyDescent="0.25">
      <c r="A38" s="7"/>
      <c r="B38" s="7"/>
      <c r="C38" s="8"/>
      <c r="D38" s="7"/>
      <c r="E38" s="7">
        <f t="shared" si="4"/>
        <v>0</v>
      </c>
    </row>
    <row r="39" spans="1:5" ht="22.5" customHeight="1" x14ac:dyDescent="0.25">
      <c r="A39" s="7"/>
      <c r="B39" s="7"/>
      <c r="C39" s="8"/>
      <c r="D39" s="7"/>
      <c r="E39" s="7">
        <f t="shared" si="4"/>
        <v>0</v>
      </c>
    </row>
    <row r="40" spans="1:5" ht="22.5" customHeight="1" x14ac:dyDescent="0.25">
      <c r="A40" s="7"/>
      <c r="B40" s="7"/>
      <c r="C40" s="8"/>
      <c r="D40" s="7"/>
      <c r="E40" s="7">
        <f t="shared" si="4"/>
        <v>0</v>
      </c>
    </row>
    <row r="41" spans="1:5" ht="22.5" customHeight="1" x14ac:dyDescent="0.25">
      <c r="A41" s="7"/>
      <c r="B41" s="7"/>
      <c r="C41" s="8"/>
      <c r="D41" s="7"/>
    </row>
    <row r="42" spans="1:5" ht="22.5" customHeight="1" x14ac:dyDescent="0.25">
      <c r="A42" s="7"/>
      <c r="B42" s="7"/>
      <c r="C42" s="8"/>
      <c r="D42" s="7"/>
    </row>
    <row r="43" spans="1:5" ht="22.5" customHeight="1" x14ac:dyDescent="0.25">
      <c r="A43" s="7"/>
      <c r="C43" s="8"/>
      <c r="D43" s="7"/>
    </row>
    <row r="44" spans="1:5" ht="22.5" customHeight="1" x14ac:dyDescent="0.25">
      <c r="A44" s="7"/>
      <c r="C44" s="8"/>
      <c r="D44" s="7"/>
    </row>
    <row r="45" spans="1:5" ht="22.5" customHeight="1" x14ac:dyDescent="0.25">
      <c r="A45" s="7"/>
      <c r="C45" s="8"/>
      <c r="D45" s="7"/>
    </row>
    <row r="46" spans="1:5" ht="22.5" customHeight="1" x14ac:dyDescent="0.25">
      <c r="A46" s="7"/>
      <c r="B46" s="7"/>
      <c r="C46" s="8"/>
      <c r="D46" s="7"/>
    </row>
    <row r="47" spans="1:5" ht="22.5" customHeight="1" x14ac:dyDescent="0.25">
      <c r="A47" s="7" t="s">
        <v>114</v>
      </c>
      <c r="B47" s="7">
        <f>SUM(San_Isidro[Pagos])</f>
        <v>12114000</v>
      </c>
      <c r="C47" s="8"/>
      <c r="D47" s="7"/>
    </row>
  </sheetData>
  <dataValidations count="1">
    <dataValidation type="custom" allowBlank="1" showDropDown="1" sqref="C3:C46" xr:uid="{00000000-0002-0000-0200-000000000000}">
      <formula1>OR(NOT(ISERROR(DATEVALUE(C3))), AND(ISNUMBER(C3), LEFT(CELL("format", C3))="D"))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F71"/>
  <sheetViews>
    <sheetView workbookViewId="0"/>
  </sheetViews>
  <sheetFormatPr baseColWidth="10" defaultColWidth="12.6328125" defaultRowHeight="15.75" customHeight="1" x14ac:dyDescent="0.25"/>
  <cols>
    <col min="1" max="1" width="32.36328125" customWidth="1"/>
    <col min="2" max="2" width="30.26953125" customWidth="1"/>
    <col min="4" max="4" width="37" customWidth="1"/>
    <col min="5" max="5" width="40.7265625" customWidth="1"/>
  </cols>
  <sheetData>
    <row r="2" spans="1:6" ht="22.5" customHeight="1" x14ac:dyDescent="0.25">
      <c r="A2" s="9" t="s">
        <v>2</v>
      </c>
      <c r="B2" s="9" t="s">
        <v>21</v>
      </c>
      <c r="D2" s="9" t="s">
        <v>2</v>
      </c>
      <c r="E2" s="9" t="s">
        <v>21</v>
      </c>
    </row>
    <row r="3" spans="1:6" ht="22.5" customHeight="1" x14ac:dyDescent="0.25">
      <c r="A3" s="7" t="s">
        <v>25</v>
      </c>
      <c r="B3" s="7">
        <v>25000</v>
      </c>
      <c r="D3" s="7" t="s">
        <v>25</v>
      </c>
      <c r="E3" s="7">
        <v>25000</v>
      </c>
    </row>
    <row r="4" spans="1:6" ht="22.5" customHeight="1" x14ac:dyDescent="0.25">
      <c r="A4" s="7" t="s">
        <v>29</v>
      </c>
      <c r="B4" s="7">
        <v>18</v>
      </c>
      <c r="D4" s="7" t="s">
        <v>29</v>
      </c>
      <c r="E4" s="7">
        <v>16</v>
      </c>
    </row>
    <row r="5" spans="1:6" ht="22.5" customHeight="1" x14ac:dyDescent="0.25">
      <c r="A5" s="7" t="s">
        <v>32</v>
      </c>
      <c r="B5" s="7">
        <f>B3*B4</f>
        <v>450000</v>
      </c>
      <c r="D5" s="7" t="s">
        <v>32</v>
      </c>
      <c r="E5" s="7">
        <v>400000</v>
      </c>
    </row>
    <row r="6" spans="1:6" ht="22.5" customHeight="1" x14ac:dyDescent="0.25">
      <c r="A6" s="7" t="s">
        <v>35</v>
      </c>
      <c r="B6" s="7">
        <v>-150000</v>
      </c>
      <c r="D6" s="7" t="s">
        <v>36</v>
      </c>
      <c r="E6" s="7">
        <v>-180000</v>
      </c>
    </row>
    <row r="7" spans="1:6" ht="22.5" customHeight="1" x14ac:dyDescent="0.25">
      <c r="A7" s="7" t="s">
        <v>37</v>
      </c>
      <c r="B7" s="7">
        <v>-160000</v>
      </c>
      <c r="D7" s="13" t="s">
        <v>38</v>
      </c>
      <c r="E7" s="13">
        <v>220000</v>
      </c>
    </row>
    <row r="8" spans="1:6" ht="22.5" customHeight="1" x14ac:dyDescent="0.25">
      <c r="A8" s="13" t="s">
        <v>38</v>
      </c>
      <c r="B8" s="13">
        <f>B5+B6+B7</f>
        <v>140000</v>
      </c>
    </row>
    <row r="11" spans="1:6" ht="12.5" x14ac:dyDescent="0.25">
      <c r="D11" s="1"/>
      <c r="E11" s="1"/>
    </row>
    <row r="12" spans="1:6" ht="22.5" customHeight="1" x14ac:dyDescent="0.25">
      <c r="A12" s="9" t="s">
        <v>2</v>
      </c>
      <c r="B12" s="9" t="s">
        <v>21</v>
      </c>
      <c r="D12" s="6" t="s">
        <v>2</v>
      </c>
      <c r="E12" s="6" t="s">
        <v>21</v>
      </c>
      <c r="F12" s="1"/>
    </row>
    <row r="13" spans="1:6" ht="22.5" customHeight="1" x14ac:dyDescent="0.25">
      <c r="A13" s="7" t="s">
        <v>25</v>
      </c>
      <c r="B13" s="7">
        <v>25000</v>
      </c>
      <c r="D13" s="7" t="s">
        <v>25</v>
      </c>
      <c r="E13" s="7">
        <v>25000</v>
      </c>
      <c r="F13" s="1"/>
    </row>
    <row r="14" spans="1:6" ht="22.5" customHeight="1" x14ac:dyDescent="0.25">
      <c r="A14" s="7" t="s">
        <v>29</v>
      </c>
      <c r="B14" s="7">
        <v>5</v>
      </c>
      <c r="D14" s="7" t="s">
        <v>29</v>
      </c>
      <c r="E14" s="7">
        <v>5</v>
      </c>
      <c r="F14" s="1"/>
    </row>
    <row r="15" spans="1:6" ht="22.5" customHeight="1" x14ac:dyDescent="0.25">
      <c r="A15" s="7" t="s">
        <v>32</v>
      </c>
      <c r="B15" s="7">
        <f>B13*B14</f>
        <v>125000</v>
      </c>
      <c r="D15" s="7" t="s">
        <v>32</v>
      </c>
      <c r="E15" s="7">
        <f>E13*E14</f>
        <v>125000</v>
      </c>
      <c r="F15" s="1"/>
    </row>
    <row r="16" spans="1:6" ht="22.5" customHeight="1" x14ac:dyDescent="0.25">
      <c r="A16" s="7" t="s">
        <v>35</v>
      </c>
      <c r="B16" s="7">
        <v>-25000</v>
      </c>
      <c r="D16" s="7"/>
      <c r="E16" s="7"/>
      <c r="F16" s="1"/>
    </row>
    <row r="17" spans="1:6" ht="22.5" customHeight="1" x14ac:dyDescent="0.25">
      <c r="A17" s="13" t="s">
        <v>38</v>
      </c>
      <c r="B17" s="13">
        <f>B15+B16</f>
        <v>100000</v>
      </c>
      <c r="D17" s="7" t="s">
        <v>38</v>
      </c>
      <c r="E17" s="7">
        <f>E15+E16</f>
        <v>125000</v>
      </c>
      <c r="F17" s="1"/>
    </row>
    <row r="18" spans="1:6" ht="12.5" x14ac:dyDescent="0.25">
      <c r="D18" s="1"/>
      <c r="E18" s="1"/>
      <c r="F18" s="1"/>
    </row>
    <row r="20" spans="1:6" ht="22.5" customHeight="1" x14ac:dyDescent="0.25">
      <c r="A20" s="9" t="s">
        <v>2</v>
      </c>
      <c r="B20" s="9" t="s">
        <v>21</v>
      </c>
      <c r="D20" s="9" t="s">
        <v>2</v>
      </c>
      <c r="E20" s="9" t="s">
        <v>21</v>
      </c>
    </row>
    <row r="21" spans="1:6" ht="22.5" customHeight="1" x14ac:dyDescent="0.25">
      <c r="A21" s="7" t="s">
        <v>25</v>
      </c>
      <c r="B21" s="7">
        <v>25000</v>
      </c>
      <c r="D21" s="7" t="s">
        <v>25</v>
      </c>
      <c r="E21" s="7">
        <v>25000</v>
      </c>
    </row>
    <row r="22" spans="1:6" ht="22.5" customHeight="1" x14ac:dyDescent="0.25">
      <c r="A22" s="7" t="s">
        <v>29</v>
      </c>
      <c r="B22" s="7">
        <v>19</v>
      </c>
      <c r="D22" s="7" t="s">
        <v>29</v>
      </c>
      <c r="E22" s="7">
        <v>14</v>
      </c>
    </row>
    <row r="23" spans="1:6" ht="22.5" customHeight="1" x14ac:dyDescent="0.25">
      <c r="A23" s="7" t="s">
        <v>32</v>
      </c>
      <c r="B23" s="7">
        <f>B21*B22</f>
        <v>475000</v>
      </c>
      <c r="D23" s="7" t="s">
        <v>32</v>
      </c>
      <c r="E23" s="7">
        <f>E21*E22</f>
        <v>350000</v>
      </c>
    </row>
    <row r="24" spans="1:6" ht="22.5" customHeight="1" x14ac:dyDescent="0.25">
      <c r="A24" s="7" t="s">
        <v>57</v>
      </c>
      <c r="B24" s="7">
        <v>-260000</v>
      </c>
      <c r="D24" s="13" t="s">
        <v>38</v>
      </c>
      <c r="E24" s="13">
        <f>E22*E21</f>
        <v>350000</v>
      </c>
    </row>
    <row r="25" spans="1:6" ht="22.5" customHeight="1" x14ac:dyDescent="0.25"/>
    <row r="26" spans="1:6" ht="22.5" customHeight="1" x14ac:dyDescent="0.25">
      <c r="A26" s="13" t="s">
        <v>38</v>
      </c>
      <c r="B26" s="13">
        <f>B23+B24+B25</f>
        <v>215000</v>
      </c>
    </row>
    <row r="28" spans="1:6" ht="12.5" x14ac:dyDescent="0.25">
      <c r="D28" s="1"/>
      <c r="E28" s="1"/>
    </row>
    <row r="29" spans="1:6" ht="12.5" x14ac:dyDescent="0.25">
      <c r="A29" s="5" t="s">
        <v>61</v>
      </c>
      <c r="B29" s="5">
        <v>829000</v>
      </c>
    </row>
    <row r="30" spans="1:6" ht="22.5" customHeight="1" x14ac:dyDescent="0.25">
      <c r="A30" s="5" t="s">
        <v>62</v>
      </c>
      <c r="B30" s="5">
        <v>129000</v>
      </c>
      <c r="D30" s="9" t="s">
        <v>2</v>
      </c>
      <c r="E30" s="9" t="s">
        <v>21</v>
      </c>
    </row>
    <row r="31" spans="1:6" ht="22.5" customHeight="1" x14ac:dyDescent="0.25">
      <c r="A31" s="5" t="s">
        <v>63</v>
      </c>
      <c r="B31" s="5">
        <v>215000</v>
      </c>
      <c r="D31" s="7" t="s">
        <v>25</v>
      </c>
      <c r="E31" s="7">
        <v>25000</v>
      </c>
    </row>
    <row r="32" spans="1:6" ht="22.5" customHeight="1" x14ac:dyDescent="0.25">
      <c r="A32" s="5" t="s">
        <v>65</v>
      </c>
      <c r="B32" s="5">
        <v>437500</v>
      </c>
      <c r="D32" s="7" t="s">
        <v>29</v>
      </c>
      <c r="E32" s="7">
        <v>15</v>
      </c>
    </row>
    <row r="33" spans="1:5" ht="22.5" customHeight="1" x14ac:dyDescent="0.25">
      <c r="A33" s="5" t="s">
        <v>67</v>
      </c>
      <c r="B33" s="5">
        <f>B29-B30-B31-B32</f>
        <v>47500</v>
      </c>
      <c r="D33" s="7" t="s">
        <v>32</v>
      </c>
      <c r="E33" s="7">
        <f>E31*E32</f>
        <v>375000</v>
      </c>
    </row>
    <row r="34" spans="1:5" ht="22.5" customHeight="1" x14ac:dyDescent="0.25">
      <c r="D34" s="13" t="s">
        <v>38</v>
      </c>
      <c r="E34" s="13">
        <f>E32*E31</f>
        <v>375000</v>
      </c>
    </row>
    <row r="36" spans="1:5" ht="22.5" customHeight="1" x14ac:dyDescent="0.25">
      <c r="A36" s="9" t="s">
        <v>2</v>
      </c>
      <c r="B36" s="9" t="s">
        <v>21</v>
      </c>
    </row>
    <row r="37" spans="1:5" ht="22.5" customHeight="1" x14ac:dyDescent="0.25">
      <c r="A37" s="7" t="s">
        <v>25</v>
      </c>
      <c r="B37" s="7">
        <v>25000</v>
      </c>
      <c r="D37" s="9" t="s">
        <v>2</v>
      </c>
      <c r="E37" s="9" t="s">
        <v>21</v>
      </c>
    </row>
    <row r="38" spans="1:5" ht="22.5" customHeight="1" x14ac:dyDescent="0.25">
      <c r="A38" s="7" t="s">
        <v>29</v>
      </c>
      <c r="B38" s="7">
        <v>17.5</v>
      </c>
      <c r="D38" s="7" t="s">
        <v>25</v>
      </c>
      <c r="E38" s="7">
        <v>25000</v>
      </c>
    </row>
    <row r="39" spans="1:5" ht="22.5" customHeight="1" x14ac:dyDescent="0.25">
      <c r="A39" s="7" t="s">
        <v>32</v>
      </c>
      <c r="B39" s="7">
        <f>B37*B38</f>
        <v>437500</v>
      </c>
      <c r="D39" s="7" t="s">
        <v>29</v>
      </c>
      <c r="E39" s="7">
        <v>16</v>
      </c>
    </row>
    <row r="40" spans="1:5" ht="22.5" customHeight="1" x14ac:dyDescent="0.25">
      <c r="D40" s="7" t="s">
        <v>78</v>
      </c>
      <c r="E40" s="7">
        <v>40000</v>
      </c>
    </row>
    <row r="41" spans="1:5" ht="22.5" customHeight="1" x14ac:dyDescent="0.25">
      <c r="D41" s="7" t="s">
        <v>80</v>
      </c>
      <c r="E41" s="7">
        <v>1.5</v>
      </c>
    </row>
    <row r="42" spans="1:5" ht="22.5" customHeight="1" x14ac:dyDescent="0.25">
      <c r="A42" s="13" t="s">
        <v>38</v>
      </c>
      <c r="B42" s="13">
        <f>B39+B40</f>
        <v>437500</v>
      </c>
      <c r="D42" s="7" t="s">
        <v>32</v>
      </c>
      <c r="E42" s="7">
        <f>E38*E39+E40*E41</f>
        <v>460000</v>
      </c>
    </row>
    <row r="43" spans="1:5" ht="22.5" customHeight="1" x14ac:dyDescent="0.25">
      <c r="D43" s="13" t="s">
        <v>38</v>
      </c>
      <c r="E43" s="13">
        <v>460000</v>
      </c>
    </row>
    <row r="46" spans="1:5" ht="22.5" customHeight="1" x14ac:dyDescent="0.25">
      <c r="A46" s="9" t="s">
        <v>2</v>
      </c>
      <c r="B46" s="9" t="s">
        <v>21</v>
      </c>
    </row>
    <row r="47" spans="1:5" ht="22.5" customHeight="1" x14ac:dyDescent="0.25">
      <c r="A47" s="7" t="s">
        <v>25</v>
      </c>
      <c r="B47" s="7">
        <v>25000</v>
      </c>
    </row>
    <row r="48" spans="1:5" ht="22.5" customHeight="1" x14ac:dyDescent="0.25">
      <c r="A48" s="7" t="s">
        <v>29</v>
      </c>
      <c r="B48" s="7">
        <v>17.5</v>
      </c>
    </row>
    <row r="49" spans="1:5" ht="22.5" customHeight="1" x14ac:dyDescent="0.25">
      <c r="A49" s="7" t="s">
        <v>32</v>
      </c>
      <c r="B49" s="7">
        <f>B47*B48</f>
        <v>437500</v>
      </c>
    </row>
    <row r="50" spans="1:5" ht="22.5" customHeight="1" x14ac:dyDescent="0.25">
      <c r="A50" s="7" t="s">
        <v>87</v>
      </c>
      <c r="B50" s="7">
        <v>47500</v>
      </c>
    </row>
    <row r="51" spans="1:5" ht="22.5" customHeight="1" x14ac:dyDescent="0.25">
      <c r="A51" s="7" t="s">
        <v>88</v>
      </c>
      <c r="B51" s="7">
        <v>90000</v>
      </c>
    </row>
    <row r="52" spans="1:5" ht="22.5" customHeight="1" x14ac:dyDescent="0.25">
      <c r="A52" s="13" t="s">
        <v>38</v>
      </c>
      <c r="B52" s="13">
        <f>B49-B50-B51</f>
        <v>300000</v>
      </c>
    </row>
    <row r="56" spans="1:5" ht="22.5" customHeight="1" x14ac:dyDescent="0.25">
      <c r="A56" s="9" t="s">
        <v>2</v>
      </c>
      <c r="B56" s="9" t="s">
        <v>21</v>
      </c>
      <c r="D56" s="9" t="s">
        <v>2</v>
      </c>
      <c r="E56" s="9" t="s">
        <v>21</v>
      </c>
    </row>
    <row r="57" spans="1:5" ht="22.5" customHeight="1" x14ac:dyDescent="0.25">
      <c r="A57" s="7" t="s">
        <v>25</v>
      </c>
      <c r="B57" s="7">
        <v>25000</v>
      </c>
      <c r="D57" s="7" t="s">
        <v>25</v>
      </c>
      <c r="E57" s="7">
        <v>30000</v>
      </c>
    </row>
    <row r="58" spans="1:5" ht="22.5" customHeight="1" x14ac:dyDescent="0.25">
      <c r="A58" s="7" t="s">
        <v>29</v>
      </c>
      <c r="B58" s="7">
        <v>13.5</v>
      </c>
      <c r="D58" s="7" t="s">
        <v>29</v>
      </c>
      <c r="E58" s="7">
        <v>20</v>
      </c>
    </row>
    <row r="59" spans="1:5" ht="22.5" customHeight="1" x14ac:dyDescent="0.25">
      <c r="A59" s="7" t="s">
        <v>32</v>
      </c>
      <c r="B59" s="7">
        <f>B57*B58</f>
        <v>337500</v>
      </c>
      <c r="D59" s="7" t="s">
        <v>32</v>
      </c>
      <c r="E59" s="7">
        <f>E57*E58</f>
        <v>600000</v>
      </c>
    </row>
    <row r="60" spans="1:5" ht="22.5" customHeight="1" x14ac:dyDescent="0.25">
      <c r="A60" s="7" t="s">
        <v>97</v>
      </c>
      <c r="B60" s="7">
        <v>160000</v>
      </c>
    </row>
    <row r="61" spans="1:5" ht="22.5" customHeight="1" x14ac:dyDescent="0.25"/>
    <row r="62" spans="1:5" ht="22.5" customHeight="1" x14ac:dyDescent="0.25">
      <c r="A62" s="13" t="s">
        <v>38</v>
      </c>
      <c r="B62" s="13">
        <f>B59-B60</f>
        <v>177500</v>
      </c>
      <c r="D62" s="13" t="s">
        <v>38</v>
      </c>
      <c r="E62" s="13">
        <f>E59-E60</f>
        <v>600000</v>
      </c>
    </row>
    <row r="65" spans="1:2" ht="22.5" customHeight="1" x14ac:dyDescent="0.25">
      <c r="A65" s="9" t="s">
        <v>2</v>
      </c>
      <c r="B65" s="9" t="s">
        <v>21</v>
      </c>
    </row>
    <row r="66" spans="1:2" ht="22.5" customHeight="1" x14ac:dyDescent="0.25">
      <c r="A66" s="7" t="s">
        <v>25</v>
      </c>
      <c r="B66" s="7">
        <v>30000</v>
      </c>
    </row>
    <row r="67" spans="1:2" ht="22.5" customHeight="1" x14ac:dyDescent="0.25">
      <c r="A67" s="7" t="s">
        <v>29</v>
      </c>
      <c r="B67" s="7">
        <v>18.5</v>
      </c>
    </row>
    <row r="68" spans="1:2" ht="22.5" customHeight="1" x14ac:dyDescent="0.25">
      <c r="A68" s="7" t="s">
        <v>32</v>
      </c>
      <c r="B68" s="7">
        <f>B66*B67</f>
        <v>555000</v>
      </c>
    </row>
    <row r="69" spans="1:2" ht="22.5" customHeight="1" x14ac:dyDescent="0.25"/>
    <row r="70" spans="1:2" ht="22.5" customHeight="1" x14ac:dyDescent="0.25"/>
    <row r="71" spans="1:2" ht="22.5" customHeight="1" x14ac:dyDescent="0.25">
      <c r="A71" s="13" t="s">
        <v>38</v>
      </c>
      <c r="B71" s="13">
        <f>B68-B69</f>
        <v>555000</v>
      </c>
    </row>
  </sheetData>
  <pageMargins left="0.7" right="0.7" top="0.75" bottom="0.75" header="0.3" footer="0.3"/>
  <legacy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7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3.08984375" customWidth="1"/>
    <col min="2" max="2" width="13.26953125" customWidth="1"/>
    <col min="3" max="3" width="14.7265625" customWidth="1"/>
    <col min="4" max="4" width="18" customWidth="1"/>
    <col min="7" max="7" width="16.7265625" customWidth="1"/>
    <col min="8" max="8" width="21.453125" customWidth="1"/>
  </cols>
  <sheetData>
    <row r="1" spans="1:9" ht="22.5" customHeight="1" x14ac:dyDescent="0.35">
      <c r="A1" s="14" t="s">
        <v>4</v>
      </c>
      <c r="B1" s="14" t="s">
        <v>129</v>
      </c>
      <c r="C1" s="15" t="s">
        <v>130</v>
      </c>
      <c r="D1" s="14" t="s">
        <v>131</v>
      </c>
      <c r="E1" s="14" t="s">
        <v>132</v>
      </c>
      <c r="F1" s="14" t="s">
        <v>17</v>
      </c>
      <c r="G1" s="14" t="s">
        <v>113</v>
      </c>
      <c r="H1" s="6" t="s">
        <v>134</v>
      </c>
      <c r="I1" s="6" t="s">
        <v>6</v>
      </c>
    </row>
    <row r="2" spans="1:9" ht="22.5" customHeight="1" x14ac:dyDescent="0.35">
      <c r="A2" s="16">
        <v>46051</v>
      </c>
      <c r="B2" s="17" t="s">
        <v>135</v>
      </c>
      <c r="C2" s="18" t="s">
        <v>136</v>
      </c>
      <c r="D2" s="18">
        <v>50</v>
      </c>
      <c r="E2" s="18">
        <v>5500</v>
      </c>
      <c r="F2" s="18">
        <f t="shared" ref="F2:F35" si="0">D2*E2</f>
        <v>275000</v>
      </c>
      <c r="G2" s="18">
        <f t="shared" ref="G2:G7" si="1">F2/4</f>
        <v>68750</v>
      </c>
      <c r="H2" s="7" t="s">
        <v>139</v>
      </c>
      <c r="I2" s="7">
        <f t="shared" ref="I2:I7" si="2">F2*0.5</f>
        <v>137500</v>
      </c>
    </row>
    <row r="3" spans="1:9" ht="22.5" customHeight="1" x14ac:dyDescent="0.35">
      <c r="A3" s="16">
        <v>46053</v>
      </c>
      <c r="B3" s="17" t="s">
        <v>142</v>
      </c>
      <c r="C3" s="18" t="s">
        <v>136</v>
      </c>
      <c r="D3" s="18">
        <v>48</v>
      </c>
      <c r="E3" s="18">
        <v>5300</v>
      </c>
      <c r="F3" s="18">
        <f t="shared" si="0"/>
        <v>254400</v>
      </c>
      <c r="G3" s="18">
        <f t="shared" si="1"/>
        <v>63600</v>
      </c>
      <c r="H3" s="7" t="s">
        <v>139</v>
      </c>
      <c r="I3" s="7">
        <f t="shared" si="2"/>
        <v>127200</v>
      </c>
    </row>
    <row r="4" spans="1:9" ht="22.5" customHeight="1" x14ac:dyDescent="0.35">
      <c r="A4" s="16">
        <v>46058</v>
      </c>
      <c r="B4" s="17" t="s">
        <v>135</v>
      </c>
      <c r="C4" s="18" t="s">
        <v>136</v>
      </c>
      <c r="D4" s="18">
        <v>100</v>
      </c>
      <c r="E4" s="18">
        <v>6000</v>
      </c>
      <c r="F4" s="18">
        <f t="shared" si="0"/>
        <v>600000</v>
      </c>
      <c r="G4" s="18">
        <f t="shared" si="1"/>
        <v>150000</v>
      </c>
      <c r="H4" s="7" t="s">
        <v>139</v>
      </c>
      <c r="I4" s="7">
        <f t="shared" si="2"/>
        <v>300000</v>
      </c>
    </row>
    <row r="5" spans="1:9" ht="22.5" customHeight="1" x14ac:dyDescent="0.35">
      <c r="A5" s="16">
        <v>46059</v>
      </c>
      <c r="B5" s="17" t="s">
        <v>142</v>
      </c>
      <c r="C5" s="18" t="s">
        <v>136</v>
      </c>
      <c r="D5" s="18">
        <v>100</v>
      </c>
      <c r="E5" s="18">
        <v>5000</v>
      </c>
      <c r="F5" s="18">
        <f t="shared" si="0"/>
        <v>500000</v>
      </c>
      <c r="G5" s="18">
        <f t="shared" si="1"/>
        <v>125000</v>
      </c>
      <c r="H5" s="7" t="s">
        <v>139</v>
      </c>
      <c r="I5" s="7">
        <f t="shared" si="2"/>
        <v>250000</v>
      </c>
    </row>
    <row r="6" spans="1:9" ht="22.5" customHeight="1" x14ac:dyDescent="0.35">
      <c r="A6" s="16">
        <v>46062</v>
      </c>
      <c r="B6" s="17" t="s">
        <v>148</v>
      </c>
      <c r="C6" s="18" t="s">
        <v>136</v>
      </c>
      <c r="D6" s="18">
        <v>100</v>
      </c>
      <c r="E6" s="18">
        <v>5500</v>
      </c>
      <c r="F6" s="18">
        <f t="shared" si="0"/>
        <v>550000</v>
      </c>
      <c r="G6" s="18">
        <f t="shared" si="1"/>
        <v>137500</v>
      </c>
      <c r="H6" s="7" t="s">
        <v>139</v>
      </c>
      <c r="I6" s="7">
        <f t="shared" si="2"/>
        <v>275000</v>
      </c>
    </row>
    <row r="7" spans="1:9" ht="22.5" customHeight="1" x14ac:dyDescent="0.35">
      <c r="A7" s="16">
        <v>46063</v>
      </c>
      <c r="B7" s="17" t="s">
        <v>135</v>
      </c>
      <c r="C7" s="18" t="s">
        <v>136</v>
      </c>
      <c r="D7" s="18">
        <v>80</v>
      </c>
      <c r="E7" s="18">
        <v>6000</v>
      </c>
      <c r="F7" s="18">
        <f t="shared" si="0"/>
        <v>480000</v>
      </c>
      <c r="G7" s="18">
        <f t="shared" si="1"/>
        <v>120000</v>
      </c>
      <c r="H7" s="7" t="s">
        <v>139</v>
      </c>
      <c r="I7" s="7">
        <f t="shared" si="2"/>
        <v>240000</v>
      </c>
    </row>
    <row r="8" spans="1:9" ht="22.5" customHeight="1" x14ac:dyDescent="0.35">
      <c r="A8" s="16">
        <v>46064</v>
      </c>
      <c r="B8" s="17" t="s">
        <v>142</v>
      </c>
      <c r="C8" s="18" t="s">
        <v>160</v>
      </c>
      <c r="D8" s="18">
        <v>100</v>
      </c>
      <c r="E8" s="18">
        <v>5000</v>
      </c>
      <c r="F8" s="18">
        <f t="shared" si="0"/>
        <v>500000</v>
      </c>
      <c r="G8" s="18">
        <f t="shared" ref="G8:G22" si="3">F8/2</f>
        <v>250000</v>
      </c>
      <c r="H8" s="7" t="s">
        <v>139</v>
      </c>
      <c r="I8" s="7"/>
    </row>
    <row r="9" spans="1:9" ht="22.5" customHeight="1" x14ac:dyDescent="0.35">
      <c r="A9" s="16">
        <v>46068</v>
      </c>
      <c r="B9" s="17" t="s">
        <v>164</v>
      </c>
      <c r="C9" s="18" t="s">
        <v>160</v>
      </c>
      <c r="D9" s="18">
        <v>200</v>
      </c>
      <c r="E9" s="18">
        <v>4500</v>
      </c>
      <c r="F9" s="18">
        <f t="shared" si="0"/>
        <v>900000</v>
      </c>
      <c r="G9" s="18">
        <f t="shared" si="3"/>
        <v>450000</v>
      </c>
      <c r="H9" s="7" t="s">
        <v>139</v>
      </c>
      <c r="I9" s="7"/>
    </row>
    <row r="10" spans="1:9" ht="22.5" customHeight="1" x14ac:dyDescent="0.35">
      <c r="A10" s="16">
        <v>46074</v>
      </c>
      <c r="B10" s="17" t="s">
        <v>142</v>
      </c>
      <c r="C10" s="18" t="s">
        <v>160</v>
      </c>
      <c r="D10" s="18">
        <v>50</v>
      </c>
      <c r="E10" s="18">
        <v>4500</v>
      </c>
      <c r="F10" s="18">
        <f t="shared" si="0"/>
        <v>225000</v>
      </c>
      <c r="G10" s="18">
        <f t="shared" si="3"/>
        <v>112500</v>
      </c>
      <c r="H10" s="7" t="s">
        <v>139</v>
      </c>
      <c r="I10" s="7"/>
    </row>
    <row r="11" spans="1:9" ht="22.5" customHeight="1" x14ac:dyDescent="0.35">
      <c r="A11" s="16">
        <v>46078</v>
      </c>
      <c r="B11" s="17" t="s">
        <v>169</v>
      </c>
      <c r="C11" s="18" t="s">
        <v>160</v>
      </c>
      <c r="D11" s="18">
        <v>100</v>
      </c>
      <c r="E11" s="18">
        <v>4000</v>
      </c>
      <c r="F11" s="18">
        <f t="shared" si="0"/>
        <v>400000</v>
      </c>
      <c r="G11" s="18">
        <f t="shared" si="3"/>
        <v>200000</v>
      </c>
      <c r="H11" s="7" t="s">
        <v>139</v>
      </c>
      <c r="I11" s="7"/>
    </row>
    <row r="12" spans="1:9" ht="22.5" customHeight="1" x14ac:dyDescent="0.35">
      <c r="A12" s="16">
        <v>46078</v>
      </c>
      <c r="B12" s="17" t="s">
        <v>170</v>
      </c>
      <c r="C12" s="18" t="s">
        <v>160</v>
      </c>
      <c r="D12" s="18">
        <v>150</v>
      </c>
      <c r="E12" s="18">
        <v>4500</v>
      </c>
      <c r="F12" s="18">
        <f t="shared" si="0"/>
        <v>675000</v>
      </c>
      <c r="G12" s="18">
        <f t="shared" si="3"/>
        <v>337500</v>
      </c>
      <c r="H12" s="7" t="s">
        <v>139</v>
      </c>
      <c r="I12" s="7"/>
    </row>
    <row r="13" spans="1:9" ht="22.5" customHeight="1" x14ac:dyDescent="0.35">
      <c r="A13" s="16">
        <v>46081</v>
      </c>
      <c r="B13" s="17" t="s">
        <v>142</v>
      </c>
      <c r="C13" s="18" t="s">
        <v>160</v>
      </c>
      <c r="D13" s="18">
        <v>400</v>
      </c>
      <c r="E13" s="18">
        <v>4500</v>
      </c>
      <c r="F13" s="18">
        <f t="shared" si="0"/>
        <v>1800000</v>
      </c>
      <c r="G13" s="18">
        <f t="shared" si="3"/>
        <v>900000</v>
      </c>
      <c r="H13" s="7" t="s">
        <v>139</v>
      </c>
      <c r="I13" s="7"/>
    </row>
    <row r="14" spans="1:9" ht="22.5" customHeight="1" x14ac:dyDescent="0.35">
      <c r="A14" s="16">
        <v>46084</v>
      </c>
      <c r="B14" s="17" t="s">
        <v>142</v>
      </c>
      <c r="C14" s="18" t="s">
        <v>160</v>
      </c>
      <c r="D14" s="18">
        <v>294</v>
      </c>
      <c r="E14" s="18">
        <v>4000</v>
      </c>
      <c r="F14" s="18">
        <f t="shared" si="0"/>
        <v>1176000</v>
      </c>
      <c r="G14" s="18">
        <f t="shared" si="3"/>
        <v>588000</v>
      </c>
      <c r="H14" s="7" t="s">
        <v>139</v>
      </c>
      <c r="I14" s="7"/>
    </row>
    <row r="15" spans="1:9" ht="22.5" customHeight="1" x14ac:dyDescent="0.35">
      <c r="A15" s="16">
        <v>46091</v>
      </c>
      <c r="B15" s="17" t="s">
        <v>142</v>
      </c>
      <c r="C15" s="18" t="s">
        <v>160</v>
      </c>
      <c r="D15" s="18">
        <v>146</v>
      </c>
      <c r="E15" s="18">
        <v>4000</v>
      </c>
      <c r="F15" s="18">
        <f t="shared" si="0"/>
        <v>584000</v>
      </c>
      <c r="G15" s="18">
        <f t="shared" si="3"/>
        <v>292000</v>
      </c>
      <c r="H15" s="7" t="s">
        <v>139</v>
      </c>
      <c r="I15" s="7"/>
    </row>
    <row r="16" spans="1:9" ht="22.5" customHeight="1" x14ac:dyDescent="0.35">
      <c r="A16" s="16">
        <v>46092</v>
      </c>
      <c r="B16" s="17" t="s">
        <v>169</v>
      </c>
      <c r="C16" s="18" t="s">
        <v>160</v>
      </c>
      <c r="D16" s="18">
        <v>120</v>
      </c>
      <c r="E16" s="18">
        <v>4000</v>
      </c>
      <c r="F16" s="18">
        <f t="shared" si="0"/>
        <v>480000</v>
      </c>
      <c r="G16" s="18">
        <f t="shared" si="3"/>
        <v>240000</v>
      </c>
      <c r="H16" s="7" t="s">
        <v>139</v>
      </c>
      <c r="I16" s="7"/>
    </row>
    <row r="17" spans="1:12" ht="22.5" customHeight="1" x14ac:dyDescent="0.35">
      <c r="A17" s="16">
        <v>46095</v>
      </c>
      <c r="B17" s="7" t="s">
        <v>142</v>
      </c>
      <c r="C17" s="18" t="s">
        <v>160</v>
      </c>
      <c r="D17" s="18">
        <v>246</v>
      </c>
      <c r="E17" s="18">
        <v>4000</v>
      </c>
      <c r="F17" s="18">
        <f t="shared" si="0"/>
        <v>984000</v>
      </c>
      <c r="G17" s="18">
        <f t="shared" si="3"/>
        <v>492000</v>
      </c>
      <c r="H17" s="7" t="s">
        <v>139</v>
      </c>
      <c r="I17" s="7"/>
    </row>
    <row r="18" spans="1:12" ht="22.5" customHeight="1" x14ac:dyDescent="0.35">
      <c r="A18" s="16">
        <v>46099</v>
      </c>
      <c r="B18" s="17" t="s">
        <v>142</v>
      </c>
      <c r="C18" s="18" t="s">
        <v>160</v>
      </c>
      <c r="D18" s="18">
        <v>84</v>
      </c>
      <c r="E18" s="18">
        <v>4500</v>
      </c>
      <c r="F18" s="18">
        <f t="shared" si="0"/>
        <v>378000</v>
      </c>
      <c r="G18" s="18">
        <f t="shared" si="3"/>
        <v>189000</v>
      </c>
      <c r="H18" s="7" t="s">
        <v>139</v>
      </c>
      <c r="I18" s="7"/>
    </row>
    <row r="19" spans="1:12" ht="22.5" customHeight="1" x14ac:dyDescent="0.35">
      <c r="A19" s="16">
        <v>46102</v>
      </c>
      <c r="B19" s="17" t="s">
        <v>142</v>
      </c>
      <c r="C19" s="18" t="s">
        <v>160</v>
      </c>
      <c r="D19" s="18">
        <v>130</v>
      </c>
      <c r="E19" s="18">
        <v>4500</v>
      </c>
      <c r="F19" s="18">
        <f t="shared" si="0"/>
        <v>585000</v>
      </c>
      <c r="G19" s="18">
        <f t="shared" si="3"/>
        <v>292500</v>
      </c>
      <c r="H19" s="7" t="s">
        <v>139</v>
      </c>
      <c r="I19" s="7"/>
    </row>
    <row r="20" spans="1:12" ht="22.5" customHeight="1" x14ac:dyDescent="0.35">
      <c r="A20" s="16">
        <v>46106</v>
      </c>
      <c r="B20" s="17" t="s">
        <v>142</v>
      </c>
      <c r="C20" s="18" t="s">
        <v>160</v>
      </c>
      <c r="D20" s="18">
        <v>196.5</v>
      </c>
      <c r="E20" s="18">
        <v>4500</v>
      </c>
      <c r="F20" s="18">
        <f t="shared" si="0"/>
        <v>884250</v>
      </c>
      <c r="G20" s="18">
        <f t="shared" si="3"/>
        <v>442125</v>
      </c>
      <c r="H20" s="7" t="s">
        <v>139</v>
      </c>
      <c r="I20" s="7"/>
    </row>
    <row r="21" spans="1:12" ht="22.5" customHeight="1" x14ac:dyDescent="0.35">
      <c r="A21" s="16">
        <v>46107</v>
      </c>
      <c r="B21" s="17" t="s">
        <v>170</v>
      </c>
      <c r="C21" s="18" t="s">
        <v>160</v>
      </c>
      <c r="D21" s="18">
        <v>140</v>
      </c>
      <c r="E21" s="18">
        <v>4500</v>
      </c>
      <c r="F21" s="18">
        <f t="shared" si="0"/>
        <v>630000</v>
      </c>
      <c r="G21" s="18">
        <f t="shared" si="3"/>
        <v>315000</v>
      </c>
      <c r="H21" s="7" t="s">
        <v>139</v>
      </c>
      <c r="I21" s="7"/>
      <c r="J21" s="5" t="s">
        <v>184</v>
      </c>
    </row>
    <row r="22" spans="1:12" ht="22.5" customHeight="1" x14ac:dyDescent="0.35">
      <c r="A22" s="16">
        <v>46109</v>
      </c>
      <c r="B22" s="17" t="s">
        <v>142</v>
      </c>
      <c r="C22" s="18" t="s">
        <v>160</v>
      </c>
      <c r="D22" s="18">
        <v>165</v>
      </c>
      <c r="E22" s="18">
        <v>4500</v>
      </c>
      <c r="F22" s="18">
        <f t="shared" si="0"/>
        <v>742500</v>
      </c>
      <c r="G22" s="18">
        <f t="shared" si="3"/>
        <v>371250</v>
      </c>
      <c r="H22" s="7" t="s">
        <v>139</v>
      </c>
      <c r="I22" s="7"/>
    </row>
    <row r="23" spans="1:12" ht="22.5" customHeight="1" x14ac:dyDescent="0.35">
      <c r="A23" s="16">
        <v>46114</v>
      </c>
      <c r="B23" s="17" t="s">
        <v>142</v>
      </c>
      <c r="C23" s="18" t="s">
        <v>136</v>
      </c>
      <c r="D23" s="18">
        <v>195</v>
      </c>
      <c r="E23" s="18">
        <v>4500</v>
      </c>
      <c r="F23" s="18">
        <f t="shared" si="0"/>
        <v>877500</v>
      </c>
      <c r="G23" s="18">
        <f t="shared" ref="G23:G25" si="4">F23*0.2</f>
        <v>175500</v>
      </c>
      <c r="H23" s="7" t="s">
        <v>139</v>
      </c>
      <c r="I23" s="7">
        <f>F23*0.5</f>
        <v>438750</v>
      </c>
      <c r="J23" s="5" t="s">
        <v>184</v>
      </c>
      <c r="K23" s="19">
        <f>SUM(G23:G25)</f>
        <v>740400</v>
      </c>
    </row>
    <row r="24" spans="1:12" ht="22.5" customHeight="1" x14ac:dyDescent="0.35">
      <c r="A24" s="16">
        <v>46114</v>
      </c>
      <c r="B24" s="17" t="s">
        <v>142</v>
      </c>
      <c r="C24" s="18" t="s">
        <v>136</v>
      </c>
      <c r="D24" s="18">
        <v>200</v>
      </c>
      <c r="E24" s="18">
        <v>7000</v>
      </c>
      <c r="F24" s="18">
        <f t="shared" si="0"/>
        <v>1400000</v>
      </c>
      <c r="G24" s="18">
        <f t="shared" si="4"/>
        <v>280000</v>
      </c>
      <c r="H24" s="7" t="s">
        <v>139</v>
      </c>
      <c r="I24" s="7">
        <f t="shared" ref="I24:I25" si="5">F24*0.6</f>
        <v>840000</v>
      </c>
      <c r="J24" s="5" t="s">
        <v>184</v>
      </c>
    </row>
    <row r="25" spans="1:12" ht="22.5" customHeight="1" x14ac:dyDescent="0.35">
      <c r="A25" s="16">
        <v>46114</v>
      </c>
      <c r="B25" s="17" t="s">
        <v>142</v>
      </c>
      <c r="C25" s="18" t="s">
        <v>136</v>
      </c>
      <c r="D25" s="18">
        <v>203.5</v>
      </c>
      <c r="E25" s="18">
        <v>7000</v>
      </c>
      <c r="F25" s="18">
        <f t="shared" si="0"/>
        <v>1424500</v>
      </c>
      <c r="G25" s="18">
        <f t="shared" si="4"/>
        <v>284900</v>
      </c>
      <c r="H25" s="7" t="s">
        <v>139</v>
      </c>
      <c r="I25" s="7">
        <f t="shared" si="5"/>
        <v>854700</v>
      </c>
      <c r="J25" s="5" t="s">
        <v>184</v>
      </c>
    </row>
    <row r="26" spans="1:12" ht="22.5" customHeight="1" x14ac:dyDescent="0.35">
      <c r="A26" s="16">
        <v>46127</v>
      </c>
      <c r="B26" s="17" t="s">
        <v>142</v>
      </c>
      <c r="C26" s="18" t="s">
        <v>160</v>
      </c>
      <c r="D26" s="18">
        <v>100</v>
      </c>
      <c r="E26" s="18">
        <v>7000</v>
      </c>
      <c r="F26" s="18">
        <f t="shared" si="0"/>
        <v>700000</v>
      </c>
      <c r="G26" s="18">
        <f t="shared" ref="G26:G35" si="6">F26/2</f>
        <v>350000</v>
      </c>
      <c r="H26" s="7" t="s">
        <v>139</v>
      </c>
      <c r="I26" s="7"/>
      <c r="J26" s="5" t="s">
        <v>184</v>
      </c>
      <c r="K26" s="5">
        <f t="shared" ref="K26:K29" si="7">G26</f>
        <v>350000</v>
      </c>
    </row>
    <row r="27" spans="1:12" ht="22.5" customHeight="1" x14ac:dyDescent="0.35">
      <c r="A27" s="16">
        <v>46130</v>
      </c>
      <c r="B27" s="17" t="s">
        <v>142</v>
      </c>
      <c r="C27" s="18" t="s">
        <v>160</v>
      </c>
      <c r="D27" s="18">
        <v>143</v>
      </c>
      <c r="E27" s="18">
        <v>7000</v>
      </c>
      <c r="F27" s="18">
        <f t="shared" si="0"/>
        <v>1001000</v>
      </c>
      <c r="G27" s="18">
        <f t="shared" si="6"/>
        <v>500500</v>
      </c>
      <c r="H27" s="7" t="s">
        <v>139</v>
      </c>
      <c r="I27" s="7"/>
      <c r="J27" s="5" t="s">
        <v>184</v>
      </c>
      <c r="K27" s="5">
        <f t="shared" si="7"/>
        <v>500500</v>
      </c>
    </row>
    <row r="28" spans="1:12" ht="22.5" customHeight="1" x14ac:dyDescent="0.35">
      <c r="A28" s="16">
        <v>46134</v>
      </c>
      <c r="B28" s="17" t="s">
        <v>142</v>
      </c>
      <c r="C28" s="18" t="s">
        <v>160</v>
      </c>
      <c r="D28" s="18">
        <v>150</v>
      </c>
      <c r="E28" s="18">
        <v>6000</v>
      </c>
      <c r="F28" s="18">
        <f t="shared" si="0"/>
        <v>900000</v>
      </c>
      <c r="G28" s="18">
        <f t="shared" si="6"/>
        <v>450000</v>
      </c>
      <c r="H28" s="7" t="s">
        <v>139</v>
      </c>
      <c r="I28" s="7"/>
      <c r="J28" s="5" t="s">
        <v>184</v>
      </c>
      <c r="K28" s="5">
        <f t="shared" si="7"/>
        <v>450000</v>
      </c>
    </row>
    <row r="29" spans="1:12" ht="22.5" customHeight="1" x14ac:dyDescent="0.35">
      <c r="A29" s="16">
        <v>46137</v>
      </c>
      <c r="B29" s="17" t="s">
        <v>142</v>
      </c>
      <c r="C29" s="18" t="s">
        <v>160</v>
      </c>
      <c r="D29" s="18">
        <v>240</v>
      </c>
      <c r="E29" s="18">
        <v>6000</v>
      </c>
      <c r="F29" s="18">
        <f t="shared" si="0"/>
        <v>1440000</v>
      </c>
      <c r="G29" s="18">
        <f t="shared" si="6"/>
        <v>720000</v>
      </c>
      <c r="H29" s="7" t="s">
        <v>139</v>
      </c>
      <c r="I29" s="7"/>
      <c r="J29" s="5" t="s">
        <v>184</v>
      </c>
      <c r="K29" s="5">
        <f t="shared" si="7"/>
        <v>720000</v>
      </c>
    </row>
    <row r="30" spans="1:12" ht="22.5" customHeight="1" x14ac:dyDescent="0.35">
      <c r="A30" s="16">
        <v>46140</v>
      </c>
      <c r="B30" s="17" t="s">
        <v>135</v>
      </c>
      <c r="C30" s="18" t="s">
        <v>160</v>
      </c>
      <c r="D30" s="18">
        <v>50</v>
      </c>
      <c r="E30" s="18">
        <v>7500</v>
      </c>
      <c r="F30" s="18">
        <f t="shared" si="0"/>
        <v>375000</v>
      </c>
      <c r="G30" s="18">
        <f t="shared" si="6"/>
        <v>187500</v>
      </c>
      <c r="H30" s="7" t="s">
        <v>139</v>
      </c>
      <c r="I30" s="7"/>
      <c r="J30" s="5">
        <f t="shared" ref="J30:J31" si="8">G30</f>
        <v>187500</v>
      </c>
      <c r="K30" s="22">
        <f>SUM(K26:K29)-500</f>
        <v>2020000</v>
      </c>
      <c r="L30" s="5">
        <f>K30*2</f>
        <v>4040000</v>
      </c>
    </row>
    <row r="31" spans="1:12" ht="22.5" customHeight="1" x14ac:dyDescent="0.35">
      <c r="A31" s="16">
        <v>46141</v>
      </c>
      <c r="B31" s="17" t="s">
        <v>169</v>
      </c>
      <c r="C31" s="18" t="s">
        <v>160</v>
      </c>
      <c r="D31" s="18">
        <v>100</v>
      </c>
      <c r="E31" s="18">
        <v>6000</v>
      </c>
      <c r="F31" s="18">
        <f t="shared" si="0"/>
        <v>600000</v>
      </c>
      <c r="G31" s="18">
        <f t="shared" si="6"/>
        <v>300000</v>
      </c>
      <c r="H31" s="7" t="s">
        <v>139</v>
      </c>
      <c r="I31" s="7"/>
      <c r="J31" s="5">
        <f t="shared" si="8"/>
        <v>300000</v>
      </c>
    </row>
    <row r="32" spans="1:12" ht="22.5" customHeight="1" x14ac:dyDescent="0.35">
      <c r="A32" s="16">
        <v>46142</v>
      </c>
      <c r="B32" s="17" t="s">
        <v>142</v>
      </c>
      <c r="C32" s="18" t="s">
        <v>160</v>
      </c>
      <c r="D32" s="18">
        <v>200</v>
      </c>
      <c r="E32" s="18">
        <v>6000</v>
      </c>
      <c r="F32" s="18">
        <f t="shared" si="0"/>
        <v>1200000</v>
      </c>
      <c r="G32" s="18">
        <f t="shared" si="6"/>
        <v>600000</v>
      </c>
      <c r="H32" s="18"/>
      <c r="I32" s="18"/>
    </row>
    <row r="33" spans="1:16" ht="22.5" customHeight="1" x14ac:dyDescent="0.35">
      <c r="A33" s="16">
        <v>46151</v>
      </c>
      <c r="B33" s="17" t="s">
        <v>135</v>
      </c>
      <c r="C33" s="18" t="s">
        <v>160</v>
      </c>
      <c r="D33" s="18">
        <v>100</v>
      </c>
      <c r="E33" s="18">
        <v>7500</v>
      </c>
      <c r="F33" s="18">
        <f t="shared" si="0"/>
        <v>750000</v>
      </c>
      <c r="G33" s="18">
        <f t="shared" si="6"/>
        <v>375000</v>
      </c>
      <c r="H33" s="7" t="s">
        <v>139</v>
      </c>
      <c r="I33" s="7"/>
      <c r="J33" s="5">
        <f t="shared" ref="J33:J36" si="9">G33</f>
        <v>375000</v>
      </c>
    </row>
    <row r="34" spans="1:16" ht="22.5" customHeight="1" x14ac:dyDescent="0.35">
      <c r="A34" s="16">
        <v>46156</v>
      </c>
      <c r="B34" s="17" t="s">
        <v>135</v>
      </c>
      <c r="C34" s="18" t="s">
        <v>160</v>
      </c>
      <c r="D34" s="18">
        <v>50</v>
      </c>
      <c r="E34" s="18">
        <v>9000</v>
      </c>
      <c r="F34" s="18">
        <f t="shared" si="0"/>
        <v>450000</v>
      </c>
      <c r="G34" s="18">
        <f t="shared" si="6"/>
        <v>225000</v>
      </c>
      <c r="H34" s="7" t="s">
        <v>139</v>
      </c>
      <c r="I34" s="7"/>
      <c r="J34" s="5">
        <f t="shared" si="9"/>
        <v>225000</v>
      </c>
    </row>
    <row r="35" spans="1:16" ht="22.5" customHeight="1" x14ac:dyDescent="0.35">
      <c r="A35" s="16">
        <v>46157</v>
      </c>
      <c r="B35" s="17" t="s">
        <v>142</v>
      </c>
      <c r="C35" s="18" t="s">
        <v>160</v>
      </c>
      <c r="D35" s="18">
        <v>50</v>
      </c>
      <c r="E35" s="18">
        <v>9000</v>
      </c>
      <c r="F35" s="18">
        <f t="shared" si="0"/>
        <v>450000</v>
      </c>
      <c r="G35" s="18">
        <f t="shared" si="6"/>
        <v>225000</v>
      </c>
      <c r="H35" s="7" t="s">
        <v>139</v>
      </c>
      <c r="I35" s="7"/>
      <c r="J35" s="5">
        <f t="shared" si="9"/>
        <v>225000</v>
      </c>
      <c r="L35" s="5" t="s">
        <v>209</v>
      </c>
      <c r="M35" s="22">
        <f>K23+K30+K38</f>
        <v>4922900</v>
      </c>
    </row>
    <row r="36" spans="1:16" ht="22.5" customHeight="1" x14ac:dyDescent="0.35">
      <c r="A36" s="28">
        <v>46158</v>
      </c>
      <c r="B36" s="17" t="s">
        <v>135</v>
      </c>
      <c r="C36" s="18" t="s">
        <v>160</v>
      </c>
      <c r="D36" s="18">
        <v>100</v>
      </c>
      <c r="E36" s="18">
        <v>8000</v>
      </c>
      <c r="F36" s="18">
        <v>800000</v>
      </c>
      <c r="G36" s="18">
        <v>400000</v>
      </c>
      <c r="H36" s="7" t="s">
        <v>139</v>
      </c>
      <c r="I36" s="7"/>
      <c r="J36" s="5">
        <f t="shared" si="9"/>
        <v>400000</v>
      </c>
      <c r="M36" s="5">
        <v>3900000</v>
      </c>
    </row>
    <row r="37" spans="1:16" ht="22.5" customHeight="1" x14ac:dyDescent="0.35">
      <c r="A37" s="16">
        <v>46161</v>
      </c>
      <c r="B37" s="17" t="s">
        <v>135</v>
      </c>
      <c r="C37" s="18" t="s">
        <v>160</v>
      </c>
      <c r="D37" s="18">
        <v>50</v>
      </c>
      <c r="E37" s="18">
        <v>10000</v>
      </c>
      <c r="F37" s="18">
        <f t="shared" ref="F37:F48" si="10">D37*E37</f>
        <v>500000</v>
      </c>
      <c r="G37" s="18">
        <f t="shared" ref="G37:G48" si="11">F37/2</f>
        <v>250000</v>
      </c>
      <c r="H37" s="7" t="s">
        <v>139</v>
      </c>
      <c r="I37" s="7"/>
      <c r="M37" s="5">
        <f>M35-M36</f>
        <v>1022900</v>
      </c>
    </row>
    <row r="38" spans="1:16" ht="22.5" customHeight="1" x14ac:dyDescent="0.35">
      <c r="A38" s="16">
        <v>46162</v>
      </c>
      <c r="B38" s="17" t="s">
        <v>142</v>
      </c>
      <c r="C38" s="18" t="s">
        <v>160</v>
      </c>
      <c r="D38" s="18">
        <v>100</v>
      </c>
      <c r="E38" s="18">
        <v>9000</v>
      </c>
      <c r="F38" s="18">
        <f t="shared" si="10"/>
        <v>900000</v>
      </c>
      <c r="G38" s="18">
        <f t="shared" si="11"/>
        <v>450000</v>
      </c>
      <c r="H38" s="7" t="s">
        <v>139</v>
      </c>
      <c r="I38" s="7"/>
      <c r="J38" s="5">
        <f>G38</f>
        <v>450000</v>
      </c>
      <c r="K38" s="22">
        <f>SUM(J30:J38)</f>
        <v>2162500</v>
      </c>
    </row>
    <row r="39" spans="1:16" ht="22.5" customHeight="1" x14ac:dyDescent="0.35">
      <c r="A39" s="16">
        <v>46163</v>
      </c>
      <c r="B39" s="17" t="s">
        <v>135</v>
      </c>
      <c r="C39" s="18" t="s">
        <v>160</v>
      </c>
      <c r="D39" s="18">
        <v>99</v>
      </c>
      <c r="E39" s="18">
        <v>10000</v>
      </c>
      <c r="F39" s="18">
        <f t="shared" si="10"/>
        <v>990000</v>
      </c>
      <c r="G39" s="18">
        <f t="shared" si="11"/>
        <v>495000</v>
      </c>
      <c r="H39" s="7" t="s">
        <v>139</v>
      </c>
      <c r="I39" s="7"/>
    </row>
    <row r="40" spans="1:16" ht="22.5" customHeight="1" x14ac:dyDescent="0.35">
      <c r="A40" s="16">
        <v>46164</v>
      </c>
      <c r="B40" s="17" t="s">
        <v>142</v>
      </c>
      <c r="C40" s="18" t="s">
        <v>160</v>
      </c>
      <c r="D40" s="18">
        <v>90</v>
      </c>
      <c r="E40" s="18">
        <v>9000</v>
      </c>
      <c r="F40" s="18">
        <f t="shared" si="10"/>
        <v>810000</v>
      </c>
      <c r="G40" s="18">
        <f t="shared" si="11"/>
        <v>405000</v>
      </c>
      <c r="H40" s="18"/>
      <c r="I40" s="18"/>
    </row>
    <row r="41" spans="1:16" ht="22.5" customHeight="1" x14ac:dyDescent="0.35">
      <c r="A41" s="16">
        <v>46170</v>
      </c>
      <c r="B41" s="17" t="s">
        <v>142</v>
      </c>
      <c r="C41" s="18" t="s">
        <v>160</v>
      </c>
      <c r="D41" s="18">
        <v>70</v>
      </c>
      <c r="E41" s="18">
        <v>8500</v>
      </c>
      <c r="F41" s="18">
        <f t="shared" si="10"/>
        <v>595000</v>
      </c>
      <c r="G41" s="18">
        <f t="shared" si="11"/>
        <v>297500</v>
      </c>
      <c r="H41" s="7" t="s">
        <v>139</v>
      </c>
      <c r="I41" s="7"/>
    </row>
    <row r="42" spans="1:16" ht="22.5" customHeight="1" x14ac:dyDescent="0.35">
      <c r="A42" s="16">
        <v>46170</v>
      </c>
      <c r="B42" s="17" t="s">
        <v>135</v>
      </c>
      <c r="C42" s="18" t="s">
        <v>160</v>
      </c>
      <c r="D42" s="18">
        <v>70</v>
      </c>
      <c r="E42" s="18">
        <v>10000</v>
      </c>
      <c r="F42" s="18">
        <f t="shared" si="10"/>
        <v>700000</v>
      </c>
      <c r="G42" s="18">
        <f t="shared" si="11"/>
        <v>350000</v>
      </c>
      <c r="H42" s="7" t="s">
        <v>139</v>
      </c>
      <c r="I42" s="7"/>
      <c r="K42" s="5">
        <v>3323775</v>
      </c>
    </row>
    <row r="43" spans="1:16" ht="22.5" customHeight="1" x14ac:dyDescent="0.35">
      <c r="A43" s="16">
        <v>46172</v>
      </c>
      <c r="B43" s="17" t="s">
        <v>135</v>
      </c>
      <c r="C43" s="18" t="s">
        <v>160</v>
      </c>
      <c r="D43" s="18">
        <v>80</v>
      </c>
      <c r="E43" s="18">
        <v>11000</v>
      </c>
      <c r="F43" s="18">
        <f t="shared" si="10"/>
        <v>880000</v>
      </c>
      <c r="G43" s="18">
        <f t="shared" si="11"/>
        <v>440000</v>
      </c>
      <c r="H43" s="7" t="s">
        <v>139</v>
      </c>
      <c r="I43" s="7"/>
    </row>
    <row r="44" spans="1:16" ht="22.5" customHeight="1" x14ac:dyDescent="0.35">
      <c r="A44" s="16">
        <v>46177</v>
      </c>
      <c r="B44" s="17" t="s">
        <v>135</v>
      </c>
      <c r="C44" s="18" t="s">
        <v>160</v>
      </c>
      <c r="D44" s="18">
        <v>130</v>
      </c>
      <c r="E44" s="18">
        <v>8000</v>
      </c>
      <c r="F44" s="18">
        <f t="shared" si="10"/>
        <v>1040000</v>
      </c>
      <c r="G44" s="18">
        <f t="shared" si="11"/>
        <v>520000</v>
      </c>
      <c r="H44" s="7" t="s">
        <v>139</v>
      </c>
      <c r="I44" s="7"/>
      <c r="J44" s="5" t="s">
        <v>220</v>
      </c>
    </row>
    <row r="45" spans="1:16" ht="22.5" customHeight="1" x14ac:dyDescent="0.35">
      <c r="A45" s="16">
        <v>46179</v>
      </c>
      <c r="B45" s="17" t="s">
        <v>135</v>
      </c>
      <c r="C45" s="18" t="s">
        <v>160</v>
      </c>
      <c r="D45" s="18">
        <v>60</v>
      </c>
      <c r="E45" s="18">
        <v>9000</v>
      </c>
      <c r="F45" s="18">
        <f t="shared" si="10"/>
        <v>540000</v>
      </c>
      <c r="G45" s="18">
        <f t="shared" si="11"/>
        <v>270000</v>
      </c>
      <c r="H45" s="7" t="s">
        <v>139</v>
      </c>
      <c r="I45" s="7"/>
      <c r="J45" s="5" t="s">
        <v>222</v>
      </c>
      <c r="K45" s="5" t="s">
        <v>223</v>
      </c>
    </row>
    <row r="46" spans="1:16" ht="22.5" customHeight="1" x14ac:dyDescent="0.35">
      <c r="A46" s="16">
        <v>46182</v>
      </c>
      <c r="B46" s="17" t="s">
        <v>135</v>
      </c>
      <c r="C46" s="18" t="s">
        <v>160</v>
      </c>
      <c r="D46" s="18">
        <v>50</v>
      </c>
      <c r="E46" s="18">
        <v>8000</v>
      </c>
      <c r="F46" s="18">
        <f t="shared" si="10"/>
        <v>400000</v>
      </c>
      <c r="G46" s="18">
        <f t="shared" si="11"/>
        <v>200000</v>
      </c>
      <c r="H46" s="7" t="s">
        <v>139</v>
      </c>
      <c r="I46" s="7"/>
      <c r="K46" s="5" t="s">
        <v>224</v>
      </c>
      <c r="P46" s="5">
        <f>42000000*0.8</f>
        <v>33600000</v>
      </c>
    </row>
    <row r="47" spans="1:16" ht="22.5" customHeight="1" x14ac:dyDescent="0.35">
      <c r="A47" s="16">
        <v>46184</v>
      </c>
      <c r="B47" s="17" t="s">
        <v>135</v>
      </c>
      <c r="C47" s="18" t="s">
        <v>160</v>
      </c>
      <c r="D47" s="18">
        <v>120</v>
      </c>
      <c r="E47" s="18">
        <v>8000</v>
      </c>
      <c r="F47" s="18">
        <f t="shared" si="10"/>
        <v>960000</v>
      </c>
      <c r="G47" s="18">
        <f t="shared" si="11"/>
        <v>480000</v>
      </c>
      <c r="H47" s="7" t="s">
        <v>139</v>
      </c>
      <c r="I47" s="7"/>
      <c r="J47" s="5" t="s">
        <v>227</v>
      </c>
      <c r="K47" s="5">
        <v>1858000</v>
      </c>
      <c r="L47" s="5">
        <f>K47*0.5</f>
        <v>929000</v>
      </c>
    </row>
    <row r="48" spans="1:16" ht="22.5" customHeight="1" x14ac:dyDescent="0.35">
      <c r="A48" s="16">
        <v>46186</v>
      </c>
      <c r="B48" s="17" t="s">
        <v>142</v>
      </c>
      <c r="C48" s="18" t="s">
        <v>160</v>
      </c>
      <c r="D48" s="18">
        <v>110</v>
      </c>
      <c r="E48" s="18">
        <v>8000</v>
      </c>
      <c r="F48" s="18">
        <f t="shared" si="10"/>
        <v>880000</v>
      </c>
      <c r="G48" s="18">
        <f t="shared" si="11"/>
        <v>440000</v>
      </c>
      <c r="H48" s="7" t="s">
        <v>139</v>
      </c>
      <c r="I48" s="7"/>
    </row>
    <row r="49" spans="1:12" ht="22.5" customHeight="1" x14ac:dyDescent="0.35">
      <c r="A49" s="28">
        <v>46191</v>
      </c>
      <c r="B49" s="17" t="s">
        <v>135</v>
      </c>
      <c r="C49" s="18" t="s">
        <v>160</v>
      </c>
      <c r="D49" s="18">
        <v>80</v>
      </c>
      <c r="E49" s="18">
        <v>8000</v>
      </c>
      <c r="F49" s="18">
        <v>640000</v>
      </c>
      <c r="G49" s="18">
        <v>320000</v>
      </c>
      <c r="H49" s="7" t="s">
        <v>139</v>
      </c>
      <c r="I49" s="7"/>
      <c r="J49" s="5" t="s">
        <v>231</v>
      </c>
    </row>
    <row r="50" spans="1:12" ht="22.5" customHeight="1" x14ac:dyDescent="0.35">
      <c r="A50" s="16">
        <v>46191</v>
      </c>
      <c r="B50" s="17" t="s">
        <v>142</v>
      </c>
      <c r="C50" s="18" t="s">
        <v>160</v>
      </c>
      <c r="D50" s="18">
        <v>80</v>
      </c>
      <c r="E50" s="18">
        <v>8000</v>
      </c>
      <c r="F50" s="18">
        <f>D50*E50</f>
        <v>640000</v>
      </c>
      <c r="G50" s="18">
        <f>F50/2</f>
        <v>320000</v>
      </c>
      <c r="H50" s="7" t="s">
        <v>139</v>
      </c>
      <c r="I50" s="18"/>
      <c r="J50" s="5">
        <v>929000</v>
      </c>
      <c r="L50" s="5">
        <v>800000</v>
      </c>
    </row>
    <row r="51" spans="1:12" ht="22.5" customHeight="1" x14ac:dyDescent="0.35">
      <c r="A51" s="28">
        <v>46193</v>
      </c>
      <c r="B51" s="17" t="s">
        <v>135</v>
      </c>
      <c r="C51" s="18" t="s">
        <v>160</v>
      </c>
      <c r="D51" s="18">
        <v>100</v>
      </c>
      <c r="E51" s="18">
        <v>8500</v>
      </c>
      <c r="F51" s="18">
        <v>850000</v>
      </c>
      <c r="G51" s="18">
        <v>425000</v>
      </c>
      <c r="H51" s="7" t="s">
        <v>139</v>
      </c>
      <c r="I51" s="7"/>
      <c r="J51" s="5">
        <v>1145000</v>
      </c>
      <c r="L51" s="5">
        <v>440000</v>
      </c>
    </row>
    <row r="52" spans="1:12" ht="22.5" customHeight="1" x14ac:dyDescent="0.35">
      <c r="A52" s="16">
        <v>46196</v>
      </c>
      <c r="B52" s="17" t="s">
        <v>135</v>
      </c>
      <c r="C52" s="18" t="s">
        <v>160</v>
      </c>
      <c r="D52" s="18">
        <v>60</v>
      </c>
      <c r="E52" s="18">
        <v>8000</v>
      </c>
      <c r="F52" s="18">
        <f t="shared" ref="F52:F65" si="12">D52*E52</f>
        <v>480000</v>
      </c>
      <c r="G52" s="18">
        <f>F52/2</f>
        <v>240000</v>
      </c>
      <c r="H52" s="7" t="s">
        <v>139</v>
      </c>
      <c r="I52" s="18"/>
      <c r="J52" s="5">
        <f>J50+J51</f>
        <v>2074000</v>
      </c>
      <c r="L52" s="5">
        <f>L50-L51</f>
        <v>360000</v>
      </c>
    </row>
    <row r="53" spans="1:12" ht="22.5" customHeight="1" x14ac:dyDescent="0.35">
      <c r="A53" s="16">
        <v>46196</v>
      </c>
      <c r="B53" s="17" t="s">
        <v>135</v>
      </c>
      <c r="C53" s="18" t="s">
        <v>136</v>
      </c>
      <c r="D53" s="18">
        <v>40</v>
      </c>
      <c r="E53" s="18">
        <v>8000</v>
      </c>
      <c r="F53" s="18">
        <f t="shared" si="12"/>
        <v>320000</v>
      </c>
      <c r="G53" s="18">
        <f t="shared" ref="G53:G54" si="13">F53*0.2</f>
        <v>64000</v>
      </c>
      <c r="H53" s="7" t="s">
        <v>139</v>
      </c>
      <c r="I53" s="7">
        <f t="shared" ref="I53:I54" si="14">F53*0.6</f>
        <v>192000</v>
      </c>
      <c r="K53" s="22">
        <f>J52-L52</f>
        <v>1714000</v>
      </c>
    </row>
    <row r="54" spans="1:12" ht="22.5" customHeight="1" x14ac:dyDescent="0.35">
      <c r="A54" s="16">
        <v>46197</v>
      </c>
      <c r="B54" s="17" t="s">
        <v>142</v>
      </c>
      <c r="C54" s="18" t="s">
        <v>136</v>
      </c>
      <c r="D54" s="18">
        <v>50</v>
      </c>
      <c r="E54" s="18">
        <v>8000</v>
      </c>
      <c r="F54" s="18">
        <f t="shared" si="12"/>
        <v>400000</v>
      </c>
      <c r="G54" s="18">
        <f t="shared" si="13"/>
        <v>80000</v>
      </c>
      <c r="H54" s="7" t="s">
        <v>139</v>
      </c>
      <c r="I54" s="7">
        <f t="shared" si="14"/>
        <v>240000</v>
      </c>
    </row>
    <row r="55" spans="1:12" ht="22.5" customHeight="1" x14ac:dyDescent="0.35">
      <c r="A55" s="16">
        <v>46197</v>
      </c>
      <c r="B55" s="17" t="s">
        <v>142</v>
      </c>
      <c r="C55" s="18" t="s">
        <v>160</v>
      </c>
      <c r="D55" s="18">
        <v>70</v>
      </c>
      <c r="E55" s="18">
        <v>8000</v>
      </c>
      <c r="F55" s="18">
        <f t="shared" si="12"/>
        <v>560000</v>
      </c>
      <c r="G55" s="18">
        <f t="shared" ref="G55:G56" si="15">F55/2</f>
        <v>280000</v>
      </c>
      <c r="H55" s="7" t="s">
        <v>139</v>
      </c>
      <c r="I55" s="18"/>
    </row>
    <row r="56" spans="1:12" ht="22.5" customHeight="1" x14ac:dyDescent="0.35">
      <c r="A56" s="16">
        <v>46198</v>
      </c>
      <c r="B56" s="17" t="s">
        <v>135</v>
      </c>
      <c r="C56" s="18" t="s">
        <v>160</v>
      </c>
      <c r="D56" s="18">
        <v>50</v>
      </c>
      <c r="E56" s="18">
        <v>8000</v>
      </c>
      <c r="F56" s="18">
        <f t="shared" si="12"/>
        <v>400000</v>
      </c>
      <c r="G56" s="18">
        <f t="shared" si="15"/>
        <v>200000</v>
      </c>
      <c r="H56" s="7" t="s">
        <v>139</v>
      </c>
      <c r="I56" s="18"/>
    </row>
    <row r="57" spans="1:12" ht="22.5" customHeight="1" x14ac:dyDescent="0.35">
      <c r="A57" s="16">
        <v>46198</v>
      </c>
      <c r="B57" s="17" t="s">
        <v>135</v>
      </c>
      <c r="C57" s="18" t="s">
        <v>136</v>
      </c>
      <c r="D57" s="18">
        <v>50</v>
      </c>
      <c r="E57" s="18">
        <v>8000</v>
      </c>
      <c r="F57" s="18">
        <f t="shared" si="12"/>
        <v>400000</v>
      </c>
      <c r="G57" s="18">
        <f>F57*0.2</f>
        <v>80000</v>
      </c>
      <c r="H57" s="7" t="s">
        <v>139</v>
      </c>
      <c r="I57" s="7">
        <f>F57*0.6</f>
        <v>240000</v>
      </c>
      <c r="K57" s="22" t="s">
        <v>242</v>
      </c>
      <c r="L57" s="22"/>
    </row>
    <row r="58" spans="1:12" ht="22.5" customHeight="1" x14ac:dyDescent="0.35">
      <c r="A58" s="16">
        <v>46200</v>
      </c>
      <c r="B58" s="17" t="s">
        <v>135</v>
      </c>
      <c r="C58" s="18" t="s">
        <v>160</v>
      </c>
      <c r="D58" s="18">
        <v>36</v>
      </c>
      <c r="E58" s="18">
        <v>8000</v>
      </c>
      <c r="F58" s="18">
        <f t="shared" si="12"/>
        <v>288000</v>
      </c>
      <c r="G58" s="18">
        <f>F58/2</f>
        <v>144000</v>
      </c>
      <c r="H58" s="7" t="s">
        <v>139</v>
      </c>
      <c r="I58" s="18"/>
      <c r="K58" s="22" t="s">
        <v>245</v>
      </c>
      <c r="L58" s="22">
        <v>427400</v>
      </c>
    </row>
    <row r="59" spans="1:12" ht="22.5" customHeight="1" x14ac:dyDescent="0.35">
      <c r="A59" s="16">
        <v>46200</v>
      </c>
      <c r="B59" s="17" t="s">
        <v>135</v>
      </c>
      <c r="C59" s="18" t="s">
        <v>136</v>
      </c>
      <c r="D59" s="18">
        <v>63</v>
      </c>
      <c r="E59" s="18">
        <v>9000</v>
      </c>
      <c r="F59" s="18">
        <f t="shared" si="12"/>
        <v>567000</v>
      </c>
      <c r="G59" s="18">
        <f>F59*0.2</f>
        <v>113400</v>
      </c>
      <c r="H59" s="7" t="s">
        <v>139</v>
      </c>
      <c r="I59" s="7">
        <f>F59*0.6</f>
        <v>340200</v>
      </c>
      <c r="K59" s="22" t="s">
        <v>247</v>
      </c>
      <c r="L59" s="22">
        <v>1587500</v>
      </c>
    </row>
    <row r="60" spans="1:12" ht="22.5" customHeight="1" x14ac:dyDescent="0.35">
      <c r="A60" s="16">
        <v>46200</v>
      </c>
      <c r="B60" s="17" t="s">
        <v>142</v>
      </c>
      <c r="C60" s="18" t="s">
        <v>160</v>
      </c>
      <c r="D60" s="18">
        <v>80</v>
      </c>
      <c r="E60" s="18">
        <v>8000</v>
      </c>
      <c r="F60" s="18">
        <f t="shared" si="12"/>
        <v>640000</v>
      </c>
      <c r="G60" s="18">
        <f t="shared" ref="G60:G61" si="16">F60/2</f>
        <v>320000</v>
      </c>
      <c r="H60" s="7" t="s">
        <v>139</v>
      </c>
      <c r="I60" s="18"/>
      <c r="K60" s="22" t="s">
        <v>250</v>
      </c>
      <c r="L60" s="22">
        <v>427000</v>
      </c>
    </row>
    <row r="61" spans="1:12" ht="22.5" customHeight="1" x14ac:dyDescent="0.35">
      <c r="A61" s="16">
        <v>46203</v>
      </c>
      <c r="B61" s="17" t="s">
        <v>135</v>
      </c>
      <c r="C61" s="18" t="s">
        <v>160</v>
      </c>
      <c r="D61" s="18">
        <v>40</v>
      </c>
      <c r="E61" s="18">
        <v>9000</v>
      </c>
      <c r="F61" s="18">
        <f t="shared" si="12"/>
        <v>360000</v>
      </c>
      <c r="G61" s="18">
        <f t="shared" si="16"/>
        <v>180000</v>
      </c>
      <c r="H61" s="7" t="s">
        <v>139</v>
      </c>
      <c r="I61" s="18"/>
      <c r="K61" s="22"/>
      <c r="L61" s="22"/>
    </row>
    <row r="62" spans="1:12" ht="22.5" customHeight="1" x14ac:dyDescent="0.35">
      <c r="A62" s="16">
        <v>46203</v>
      </c>
      <c r="B62" s="17" t="s">
        <v>135</v>
      </c>
      <c r="C62" s="18" t="s">
        <v>136</v>
      </c>
      <c r="D62" s="18">
        <v>50</v>
      </c>
      <c r="E62" s="18">
        <v>9000</v>
      </c>
      <c r="F62" s="18">
        <f t="shared" si="12"/>
        <v>450000</v>
      </c>
      <c r="G62" s="18">
        <f>F62*0.2</f>
        <v>90000</v>
      </c>
      <c r="H62" s="7" t="s">
        <v>139</v>
      </c>
      <c r="I62" s="7">
        <f>F62*0.6</f>
        <v>270000</v>
      </c>
      <c r="K62" s="22" t="s">
        <v>254</v>
      </c>
      <c r="L62" s="22">
        <f>SUM(G62:G64)</f>
        <v>820000</v>
      </c>
    </row>
    <row r="63" spans="1:12" ht="22.5" customHeight="1" x14ac:dyDescent="0.35">
      <c r="A63" s="16">
        <v>46205</v>
      </c>
      <c r="B63" s="17" t="s">
        <v>135</v>
      </c>
      <c r="C63" s="18" t="s">
        <v>160</v>
      </c>
      <c r="D63" s="18">
        <v>100</v>
      </c>
      <c r="E63" s="18">
        <v>9000</v>
      </c>
      <c r="F63" s="18">
        <f t="shared" si="12"/>
        <v>900000</v>
      </c>
      <c r="G63" s="18">
        <f t="shared" ref="G63:G65" si="17">F63/2</f>
        <v>450000</v>
      </c>
      <c r="H63" s="7" t="s">
        <v>139</v>
      </c>
      <c r="I63" s="18"/>
      <c r="K63" s="29" t="s">
        <v>257</v>
      </c>
      <c r="L63" s="29">
        <v>1790000</v>
      </c>
    </row>
    <row r="64" spans="1:12" ht="22.5" customHeight="1" x14ac:dyDescent="0.35">
      <c r="A64" s="16">
        <v>46205</v>
      </c>
      <c r="B64" s="17" t="s">
        <v>142</v>
      </c>
      <c r="C64" s="18" t="s">
        <v>160</v>
      </c>
      <c r="D64" s="18">
        <v>70</v>
      </c>
      <c r="E64" s="18">
        <v>8000</v>
      </c>
      <c r="F64" s="18">
        <f t="shared" si="12"/>
        <v>560000</v>
      </c>
      <c r="G64" s="18">
        <f t="shared" si="17"/>
        <v>280000</v>
      </c>
      <c r="H64" s="18"/>
      <c r="I64" s="18"/>
      <c r="K64" s="30" t="s">
        <v>259</v>
      </c>
      <c r="L64" s="30">
        <f>SUM(L59:L62)-L63</f>
        <v>1044500</v>
      </c>
    </row>
    <row r="65" spans="1:9" ht="22.5" customHeight="1" x14ac:dyDescent="0.35">
      <c r="A65" s="16">
        <v>46207</v>
      </c>
      <c r="B65" s="17" t="s">
        <v>135</v>
      </c>
      <c r="C65" s="18" t="s">
        <v>160</v>
      </c>
      <c r="D65" s="18">
        <v>83</v>
      </c>
      <c r="E65" s="18">
        <v>9000</v>
      </c>
      <c r="F65" s="18">
        <f t="shared" si="12"/>
        <v>747000</v>
      </c>
      <c r="G65" s="18">
        <f t="shared" si="17"/>
        <v>373500</v>
      </c>
      <c r="H65" s="7" t="s">
        <v>139</v>
      </c>
      <c r="I65" s="18"/>
    </row>
    <row r="66" spans="1:9" ht="22.5" customHeight="1" x14ac:dyDescent="0.35">
      <c r="A66" s="16"/>
      <c r="B66" s="17"/>
      <c r="C66" s="18"/>
      <c r="D66" s="18"/>
      <c r="E66" s="18"/>
      <c r="F66" s="18"/>
      <c r="G66" s="18"/>
      <c r="H66" s="18"/>
      <c r="I66" s="18"/>
    </row>
    <row r="67" spans="1:9" ht="22.5" customHeight="1" x14ac:dyDescent="0.35">
      <c r="A67" s="16"/>
      <c r="B67" s="17"/>
      <c r="C67" s="18"/>
      <c r="D67" s="18"/>
      <c r="E67" s="18"/>
      <c r="F67" s="18"/>
      <c r="G67" s="18"/>
      <c r="H67" s="18"/>
      <c r="I67" s="18"/>
    </row>
    <row r="68" spans="1:9" ht="22.5" customHeight="1" x14ac:dyDescent="0.35">
      <c r="A68" s="16"/>
      <c r="B68" s="17"/>
      <c r="C68" s="18"/>
      <c r="D68" s="18"/>
      <c r="E68" s="18"/>
      <c r="F68" s="18"/>
      <c r="G68" s="18"/>
      <c r="H68" s="18"/>
      <c r="I68" s="18"/>
    </row>
    <row r="69" spans="1:9" ht="22.5" customHeight="1" x14ac:dyDescent="0.35">
      <c r="A69" s="16"/>
      <c r="B69" s="17"/>
      <c r="C69" s="18"/>
      <c r="D69" s="18"/>
      <c r="E69" s="18"/>
      <c r="F69" s="18"/>
      <c r="G69" s="18"/>
      <c r="H69" s="18"/>
      <c r="I69" s="18"/>
    </row>
    <row r="70" spans="1:9" ht="22.5" customHeight="1" x14ac:dyDescent="0.25">
      <c r="A70" s="31"/>
      <c r="B70" s="31"/>
      <c r="C70" s="32" t="s">
        <v>265</v>
      </c>
      <c r="D70" s="33">
        <f>SUM(Cosecha[Cantidad (bolsas)])</f>
        <v>7012</v>
      </c>
      <c r="E70" s="31"/>
      <c r="F70" s="33" t="s">
        <v>268</v>
      </c>
      <c r="G70" s="34">
        <f>SUM(Cosecha[Alexis])</f>
        <v>19767525</v>
      </c>
      <c r="H70" s="31"/>
      <c r="I70" s="31"/>
    </row>
    <row r="74" spans="1:9" ht="12.5" x14ac:dyDescent="0.25">
      <c r="H74" s="5">
        <f>44368150/7012</f>
        <v>6327.4600684540783</v>
      </c>
    </row>
  </sheetData>
  <dataValidations count="1">
    <dataValidation type="custom" allowBlank="1" showDropDown="1" sqref="A2:A69" xr:uid="{00000000-0002-0000-0400-000000000000}">
      <formula1>OR(NOT(ISERROR(DATEVALUE(A2))), AND(ISNUMBER(A2), LEFT(CELL("format", A2))="D"))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N283"/>
  <sheetViews>
    <sheetView workbookViewId="0"/>
  </sheetViews>
  <sheetFormatPr baseColWidth="10" defaultColWidth="12.6328125" defaultRowHeight="15.75" customHeight="1" x14ac:dyDescent="0.25"/>
  <cols>
    <col min="1" max="1" width="47.90625" customWidth="1"/>
    <col min="2" max="2" width="15.08984375" customWidth="1"/>
    <col min="3" max="3" width="14.90625" customWidth="1"/>
    <col min="4" max="4" width="13.26953125" customWidth="1"/>
    <col min="6" max="6" width="13.6328125" customWidth="1"/>
  </cols>
  <sheetData>
    <row r="2" spans="1:14" ht="22.5" customHeight="1" x14ac:dyDescent="0.25">
      <c r="A2" s="6" t="s">
        <v>2</v>
      </c>
      <c r="B2" s="6" t="s">
        <v>149</v>
      </c>
      <c r="C2" s="6" t="s">
        <v>31</v>
      </c>
      <c r="D2" s="6" t="s">
        <v>4</v>
      </c>
      <c r="E2" s="6" t="s">
        <v>150</v>
      </c>
      <c r="F2" s="6" t="s">
        <v>16</v>
      </c>
      <c r="G2" s="6" t="s">
        <v>6</v>
      </c>
      <c r="H2" s="6" t="s">
        <v>153</v>
      </c>
      <c r="I2" s="5" t="s">
        <v>16</v>
      </c>
      <c r="J2" s="5" t="s">
        <v>114</v>
      </c>
      <c r="K2" s="5" t="s">
        <v>155</v>
      </c>
      <c r="L2" s="5" t="s">
        <v>156</v>
      </c>
      <c r="M2" s="5" t="s">
        <v>157</v>
      </c>
      <c r="N2" s="5" t="s">
        <v>0</v>
      </c>
    </row>
    <row r="3" spans="1:14" ht="22.5" customHeight="1" x14ac:dyDescent="0.25">
      <c r="A3" s="7" t="s">
        <v>18</v>
      </c>
      <c r="B3" s="7">
        <v>6930000</v>
      </c>
      <c r="D3" s="8">
        <v>45934</v>
      </c>
      <c r="E3" s="7" t="str">
        <f ca="1">IFERROR(__xludf.DUMMYFUNCTION("REGEXEXTRACT(A3,""[A-Za-z]+"")"),"Aplicacion")</f>
        <v>Aplicacion</v>
      </c>
      <c r="F3" s="7" t="str">
        <f t="shared" ref="F3:F257" si="0">TEXT(D3,"mmmm yyyy")</f>
        <v>octubre 2025</v>
      </c>
      <c r="G3" s="7" t="str">
        <f t="shared" ref="G3:G257" si="1">IF(B2&lt;&gt;"", B2, IF(C2&lt;&gt;"", -C2, ""))</f>
        <v>Entrada</v>
      </c>
      <c r="I3" s="5" t="s">
        <v>161</v>
      </c>
      <c r="J3" s="5">
        <f>SUMIF(F:F,"octubre 2025",C:C)</f>
        <v>3408169</v>
      </c>
      <c r="K3" s="5">
        <f>SUMIF(F:F,"octubre 2025",B:B)</f>
        <v>9311000</v>
      </c>
      <c r="L3" s="5">
        <f t="shared" ref="L3:L6" si="2">K3-J3</f>
        <v>5902831</v>
      </c>
      <c r="M3" s="5">
        <f ca="1">SUMIFS(B:B, F:F, "octubre 2025", E:E, "Sueldos")</f>
        <v>0</v>
      </c>
      <c r="N3" s="5">
        <f ca="1">SUMIFS(B:B, F:F, "octubre 2025", E:E, "Sueldo")</f>
        <v>2152000</v>
      </c>
    </row>
    <row r="4" spans="1:14" ht="22.5" customHeight="1" x14ac:dyDescent="0.25">
      <c r="A4" s="7" t="s">
        <v>33</v>
      </c>
      <c r="B4" s="7">
        <v>147000</v>
      </c>
      <c r="D4" s="8">
        <v>45936</v>
      </c>
      <c r="E4" s="7" t="str">
        <f ca="1">IFERROR(__xludf.DUMMYFUNCTION("REGEXEXTRACT(A4,""[A-Za-z]+"")"),"Uber")</f>
        <v>Uber</v>
      </c>
      <c r="F4" s="7" t="str">
        <f t="shared" si="0"/>
        <v>octubre 2025</v>
      </c>
      <c r="G4" s="7">
        <f t="shared" si="1"/>
        <v>6930000</v>
      </c>
      <c r="H4" s="7" t="str">
        <f t="shared" ref="H4:H258" si="3">IF(G4="", "", IF(G4&gt;0, "Ingreso", "Gasto"))</f>
        <v>Ingreso</v>
      </c>
      <c r="I4" s="5" t="s">
        <v>168</v>
      </c>
      <c r="J4" s="5">
        <f>SUMIF(F:F,"noviembre 2025",C:C)</f>
        <v>1886600</v>
      </c>
      <c r="K4" s="5">
        <f>SUMIF(F:F,"noviembre 2025",B:B)</f>
        <v>2383770</v>
      </c>
      <c r="L4" s="5">
        <f t="shared" si="2"/>
        <v>497170</v>
      </c>
      <c r="M4" s="5">
        <f ca="1">SUMIFS(B:B, F:F, "Noviembre 2025", E:E, "Frasco")</f>
        <v>133180</v>
      </c>
      <c r="N4" s="5">
        <f ca="1">SUMIFS(B:B, F:F, "Noviembre 2025", E:E, "Sueldo")</f>
        <v>2070000</v>
      </c>
    </row>
    <row r="5" spans="1:14" ht="22.5" customHeight="1" x14ac:dyDescent="0.25">
      <c r="A5" s="7" t="s">
        <v>40</v>
      </c>
      <c r="B5" s="7"/>
      <c r="C5" s="7">
        <v>30000</v>
      </c>
      <c r="D5" s="8">
        <v>45937</v>
      </c>
      <c r="E5" s="7" t="str">
        <f ca="1">IFERROR(__xludf.DUMMYFUNCTION("REGEXEXTRACT(A5,""[A-Za-z]+"")"),"Gastos")</f>
        <v>Gastos</v>
      </c>
      <c r="F5" s="7" t="str">
        <f t="shared" si="0"/>
        <v>octubre 2025</v>
      </c>
      <c r="G5" s="7">
        <f t="shared" si="1"/>
        <v>147000</v>
      </c>
      <c r="H5" s="7" t="str">
        <f t="shared" si="3"/>
        <v>Ingreso</v>
      </c>
      <c r="I5" s="5" t="s">
        <v>174</v>
      </c>
      <c r="J5" s="5">
        <f>SUMIF(F:F,"diciembre 2025",C:C)</f>
        <v>2393043.75</v>
      </c>
      <c r="K5" s="5">
        <f>SUMIF(F:F,"diciembre 2025",B:B)</f>
        <v>3871420</v>
      </c>
      <c r="L5" s="5">
        <f t="shared" si="2"/>
        <v>1478376.25</v>
      </c>
      <c r="M5" s="5">
        <f ca="1">SUMIFS(B:B, F:F, "Diciembre 2025", E:E, "Frasco")</f>
        <v>169520</v>
      </c>
      <c r="N5" s="5">
        <f ca="1">SUMIFS(B:B, F:F, "Diciembre 2025", E:E, "Sueldo")</f>
        <v>3248000</v>
      </c>
    </row>
    <row r="6" spans="1:14" ht="22.5" customHeight="1" x14ac:dyDescent="0.25">
      <c r="A6" s="7" t="s">
        <v>44</v>
      </c>
      <c r="B6" s="7">
        <v>2152000</v>
      </c>
      <c r="D6" s="8">
        <v>45938</v>
      </c>
      <c r="E6" s="7" t="str">
        <f ca="1">IFERROR(__xludf.DUMMYFUNCTION("REGEXEXTRACT(A6,""[A-Za-z]+"")"),"Sueldo")</f>
        <v>Sueldo</v>
      </c>
      <c r="F6" s="7" t="str">
        <f t="shared" si="0"/>
        <v>octubre 2025</v>
      </c>
      <c r="G6" s="7">
        <f t="shared" si="1"/>
        <v>-30000</v>
      </c>
      <c r="H6" s="7" t="str">
        <f t="shared" si="3"/>
        <v>Gasto</v>
      </c>
      <c r="I6" s="5" t="s">
        <v>176</v>
      </c>
      <c r="J6" s="5">
        <f>SUMIF(F:F,"enero 2026",C:C)</f>
        <v>2077687</v>
      </c>
      <c r="K6" s="5">
        <f>SUMIF(F:F,"enero 2026",B:B)</f>
        <v>2820687</v>
      </c>
      <c r="L6" s="5">
        <f t="shared" si="2"/>
        <v>743000</v>
      </c>
      <c r="M6" s="5">
        <f>SUMIFS(B:B, F:F, "enero 2026", E:E, "Frasco")</f>
        <v>169747</v>
      </c>
      <c r="N6" s="5">
        <f>SUMIFS(B:B, F:F, "enero 2026", E:E, "Sueldo")</f>
        <v>2149700</v>
      </c>
    </row>
    <row r="7" spans="1:14" ht="22.5" customHeight="1" x14ac:dyDescent="0.25">
      <c r="A7" s="7" t="s">
        <v>47</v>
      </c>
      <c r="B7" s="7"/>
      <c r="C7" s="7">
        <v>330000</v>
      </c>
      <c r="D7" s="8">
        <v>45939</v>
      </c>
      <c r="E7" s="7" t="s">
        <v>50</v>
      </c>
      <c r="F7" s="7" t="str">
        <f t="shared" si="0"/>
        <v>octubre 2025</v>
      </c>
      <c r="G7" s="7">
        <f t="shared" si="1"/>
        <v>2152000</v>
      </c>
      <c r="H7" s="7" t="str">
        <f t="shared" si="3"/>
        <v>Ingreso</v>
      </c>
    </row>
    <row r="8" spans="1:14" ht="22.5" customHeight="1" x14ac:dyDescent="0.25">
      <c r="A8" s="7" t="s">
        <v>53</v>
      </c>
      <c r="B8" s="7"/>
      <c r="C8" s="7">
        <v>220000</v>
      </c>
      <c r="D8" s="8">
        <v>45939</v>
      </c>
      <c r="E8" s="7" t="s">
        <v>50</v>
      </c>
      <c r="F8" s="7" t="str">
        <f t="shared" si="0"/>
        <v>octubre 2025</v>
      </c>
      <c r="G8" s="7">
        <f t="shared" si="1"/>
        <v>-330000</v>
      </c>
      <c r="H8" s="7" t="str">
        <f t="shared" si="3"/>
        <v>Gasto</v>
      </c>
    </row>
    <row r="9" spans="1:14" ht="22.5" customHeight="1" x14ac:dyDescent="0.25">
      <c r="A9" s="7" t="s">
        <v>55</v>
      </c>
      <c r="B9" s="7"/>
      <c r="C9" s="7">
        <v>20000</v>
      </c>
      <c r="D9" s="8">
        <v>45942</v>
      </c>
      <c r="E9" s="7" t="s">
        <v>58</v>
      </c>
      <c r="F9" s="7" t="str">
        <f t="shared" si="0"/>
        <v>octubre 2025</v>
      </c>
      <c r="G9" s="7">
        <f t="shared" si="1"/>
        <v>-220000</v>
      </c>
      <c r="H9" s="7" t="str">
        <f t="shared" si="3"/>
        <v>Gasto</v>
      </c>
    </row>
    <row r="10" spans="1:14" ht="22.5" customHeight="1" x14ac:dyDescent="0.25">
      <c r="A10" s="7" t="s">
        <v>59</v>
      </c>
      <c r="B10" s="7"/>
      <c r="C10" s="7">
        <v>30000</v>
      </c>
      <c r="D10" s="8">
        <v>45942</v>
      </c>
      <c r="E10" s="7" t="s">
        <v>31</v>
      </c>
      <c r="F10" s="7" t="str">
        <f t="shared" si="0"/>
        <v>octubre 2025</v>
      </c>
      <c r="G10" s="7">
        <f t="shared" si="1"/>
        <v>-20000</v>
      </c>
      <c r="H10" s="7" t="str">
        <f t="shared" si="3"/>
        <v>Gasto</v>
      </c>
    </row>
    <row r="11" spans="1:14" ht="22.5" customHeight="1" x14ac:dyDescent="0.25">
      <c r="A11" s="7" t="s">
        <v>64</v>
      </c>
      <c r="B11" s="7"/>
      <c r="C11" s="7">
        <v>40000</v>
      </c>
      <c r="D11" s="8">
        <v>45942</v>
      </c>
      <c r="E11" s="7" t="str">
        <f ca="1">IFERROR(__xludf.DUMMYFUNCTION("REGEXEXTRACT(A11,""[A-Za-z]+"")"),"Gastos")</f>
        <v>Gastos</v>
      </c>
      <c r="F11" s="7" t="str">
        <f t="shared" si="0"/>
        <v>octubre 2025</v>
      </c>
      <c r="G11" s="7">
        <f t="shared" si="1"/>
        <v>-30000</v>
      </c>
      <c r="H11" s="7" t="str">
        <f t="shared" si="3"/>
        <v>Gasto</v>
      </c>
    </row>
    <row r="12" spans="1:14" ht="22.5" customHeight="1" x14ac:dyDescent="0.25">
      <c r="A12" s="7" t="s">
        <v>68</v>
      </c>
      <c r="B12" s="7"/>
      <c r="C12" s="7">
        <v>25000</v>
      </c>
      <c r="D12" s="8">
        <v>45943</v>
      </c>
      <c r="E12" s="7" t="s">
        <v>31</v>
      </c>
      <c r="F12" s="7" t="str">
        <f t="shared" si="0"/>
        <v>octubre 2025</v>
      </c>
      <c r="G12" s="7">
        <f t="shared" si="1"/>
        <v>-40000</v>
      </c>
      <c r="H12" s="7" t="str">
        <f t="shared" si="3"/>
        <v>Gasto</v>
      </c>
    </row>
    <row r="13" spans="1:14" ht="22.5" customHeight="1" x14ac:dyDescent="0.25">
      <c r="A13" s="7" t="s">
        <v>71</v>
      </c>
      <c r="B13" s="7">
        <v>82000</v>
      </c>
      <c r="D13" s="8">
        <v>45943</v>
      </c>
      <c r="E13" s="7" t="s">
        <v>72</v>
      </c>
      <c r="F13" s="7" t="str">
        <f t="shared" si="0"/>
        <v>octubre 2025</v>
      </c>
      <c r="G13" s="7">
        <f t="shared" si="1"/>
        <v>-25000</v>
      </c>
      <c r="H13" s="7" t="str">
        <f t="shared" si="3"/>
        <v>Gasto</v>
      </c>
    </row>
    <row r="14" spans="1:14" ht="22.5" customHeight="1" x14ac:dyDescent="0.25">
      <c r="A14" s="7" t="s">
        <v>74</v>
      </c>
      <c r="B14" s="7"/>
      <c r="C14" s="7">
        <v>60000</v>
      </c>
      <c r="D14" s="8">
        <v>45943</v>
      </c>
      <c r="E14" s="7" t="s">
        <v>76</v>
      </c>
      <c r="F14" s="7" t="str">
        <f t="shared" si="0"/>
        <v>octubre 2025</v>
      </c>
      <c r="G14" s="7">
        <f t="shared" si="1"/>
        <v>82000</v>
      </c>
      <c r="H14" s="7" t="str">
        <f t="shared" si="3"/>
        <v>Ingreso</v>
      </c>
    </row>
    <row r="15" spans="1:14" ht="22.5" customHeight="1" x14ac:dyDescent="0.25">
      <c r="A15" s="7" t="s">
        <v>79</v>
      </c>
      <c r="B15" s="7"/>
      <c r="C15" s="7">
        <v>60000</v>
      </c>
      <c r="D15" s="8">
        <v>45952</v>
      </c>
      <c r="E15" s="7" t="str">
        <f ca="1">IFERROR(__xludf.DUMMYFUNCTION("REGEXEXTRACT(A15,""[A-Za-z]+"")"),"Gastos")</f>
        <v>Gastos</v>
      </c>
      <c r="F15" s="7" t="str">
        <f t="shared" si="0"/>
        <v>octubre 2025</v>
      </c>
      <c r="G15" s="7">
        <f t="shared" si="1"/>
        <v>-60000</v>
      </c>
      <c r="H15" s="7" t="str">
        <f t="shared" si="3"/>
        <v>Gasto</v>
      </c>
    </row>
    <row r="16" spans="1:14" ht="22.5" customHeight="1" x14ac:dyDescent="0.25">
      <c r="A16" s="7" t="s">
        <v>82</v>
      </c>
      <c r="B16" s="7"/>
      <c r="C16" s="7">
        <v>513000</v>
      </c>
      <c r="D16" s="8">
        <v>45952</v>
      </c>
      <c r="E16" s="7" t="s">
        <v>84</v>
      </c>
      <c r="F16" s="7" t="str">
        <f t="shared" si="0"/>
        <v>octubre 2025</v>
      </c>
      <c r="G16" s="7">
        <f t="shared" si="1"/>
        <v>-60000</v>
      </c>
      <c r="H16" s="7" t="str">
        <f t="shared" si="3"/>
        <v>Gasto</v>
      </c>
    </row>
    <row r="17" spans="1:8" ht="22.5" customHeight="1" x14ac:dyDescent="0.25">
      <c r="A17" s="7" t="s">
        <v>85</v>
      </c>
      <c r="B17" s="7"/>
      <c r="C17" s="7">
        <v>100000</v>
      </c>
      <c r="D17" s="8">
        <v>45952</v>
      </c>
      <c r="E17" s="7" t="s">
        <v>50</v>
      </c>
      <c r="F17" s="7" t="str">
        <f t="shared" si="0"/>
        <v>octubre 2025</v>
      </c>
      <c r="G17" s="7">
        <f t="shared" si="1"/>
        <v>-513000</v>
      </c>
      <c r="H17" s="7" t="str">
        <f t="shared" si="3"/>
        <v>Gasto</v>
      </c>
    </row>
    <row r="18" spans="1:8" ht="22.5" customHeight="1" x14ac:dyDescent="0.25">
      <c r="A18" s="7" t="s">
        <v>89</v>
      </c>
      <c r="B18" s="7"/>
      <c r="C18" s="7">
        <f>25000+62500</f>
        <v>87500</v>
      </c>
      <c r="D18" s="8">
        <v>45952</v>
      </c>
      <c r="E18" s="7" t="s">
        <v>50</v>
      </c>
      <c r="F18" s="7" t="str">
        <f t="shared" si="0"/>
        <v>octubre 2025</v>
      </c>
      <c r="G18" s="7">
        <f t="shared" si="1"/>
        <v>-100000</v>
      </c>
      <c r="H18" s="7" t="str">
        <f t="shared" si="3"/>
        <v>Gasto</v>
      </c>
    </row>
    <row r="19" spans="1:8" ht="22.5" customHeight="1" x14ac:dyDescent="0.25">
      <c r="A19" s="7" t="s">
        <v>91</v>
      </c>
      <c r="B19" s="7"/>
      <c r="C19" s="7">
        <v>190000</v>
      </c>
      <c r="D19" s="8">
        <v>45954</v>
      </c>
      <c r="E19" s="7" t="s">
        <v>50</v>
      </c>
      <c r="F19" s="7" t="str">
        <f t="shared" si="0"/>
        <v>octubre 2025</v>
      </c>
      <c r="G19" s="7">
        <f t="shared" si="1"/>
        <v>-87500</v>
      </c>
      <c r="H19" s="7" t="str">
        <f t="shared" si="3"/>
        <v>Gasto</v>
      </c>
    </row>
    <row r="20" spans="1:8" ht="22.5" customHeight="1" x14ac:dyDescent="0.25">
      <c r="A20" s="7" t="s">
        <v>95</v>
      </c>
      <c r="B20" s="7"/>
      <c r="C20" s="7">
        <v>63000</v>
      </c>
      <c r="D20" s="8">
        <v>45954</v>
      </c>
      <c r="E20" s="7" t="s">
        <v>50</v>
      </c>
      <c r="F20" s="7" t="str">
        <f t="shared" si="0"/>
        <v>octubre 2025</v>
      </c>
      <c r="G20" s="7">
        <f t="shared" si="1"/>
        <v>-190000</v>
      </c>
      <c r="H20" s="7" t="str">
        <f t="shared" si="3"/>
        <v>Gasto</v>
      </c>
    </row>
    <row r="21" spans="1:8" ht="22.5" customHeight="1" x14ac:dyDescent="0.25">
      <c r="A21" s="7" t="s">
        <v>89</v>
      </c>
      <c r="B21" s="7"/>
      <c r="C21" s="7">
        <v>400000</v>
      </c>
      <c r="D21" s="8">
        <v>45955</v>
      </c>
      <c r="E21" s="7" t="s">
        <v>72</v>
      </c>
      <c r="F21" s="7" t="str">
        <f t="shared" si="0"/>
        <v>octubre 2025</v>
      </c>
      <c r="G21" s="7">
        <f t="shared" si="1"/>
        <v>-63000</v>
      </c>
      <c r="H21" s="7" t="str">
        <f t="shared" si="3"/>
        <v>Gasto</v>
      </c>
    </row>
    <row r="22" spans="1:8" ht="22.5" customHeight="1" x14ac:dyDescent="0.25">
      <c r="A22" s="7" t="s">
        <v>99</v>
      </c>
      <c r="B22" s="7"/>
      <c r="C22" s="7">
        <v>400000</v>
      </c>
      <c r="D22" s="8">
        <v>45955</v>
      </c>
      <c r="E22" s="7" t="s">
        <v>72</v>
      </c>
      <c r="F22" s="7" t="str">
        <f t="shared" si="0"/>
        <v>octubre 2025</v>
      </c>
      <c r="G22" s="7">
        <f t="shared" si="1"/>
        <v>-400000</v>
      </c>
      <c r="H22" s="7" t="str">
        <f t="shared" si="3"/>
        <v>Gasto</v>
      </c>
    </row>
    <row r="23" spans="1:8" ht="22.5" customHeight="1" x14ac:dyDescent="0.25">
      <c r="A23" s="7" t="s">
        <v>102</v>
      </c>
      <c r="B23" s="7"/>
      <c r="C23" s="7">
        <v>125000</v>
      </c>
      <c r="D23" s="8">
        <v>45955</v>
      </c>
      <c r="E23" s="7" t="s">
        <v>50</v>
      </c>
      <c r="F23" s="7" t="str">
        <f t="shared" si="0"/>
        <v>octubre 2025</v>
      </c>
      <c r="G23" s="7">
        <f t="shared" si="1"/>
        <v>-400000</v>
      </c>
      <c r="H23" s="7" t="str">
        <f t="shared" si="3"/>
        <v>Gasto</v>
      </c>
    </row>
    <row r="24" spans="1:8" ht="22.5" customHeight="1" x14ac:dyDescent="0.25">
      <c r="A24" s="7" t="s">
        <v>79</v>
      </c>
      <c r="B24" s="7"/>
      <c r="C24" s="7">
        <v>18000</v>
      </c>
      <c r="D24" s="8">
        <v>45957</v>
      </c>
      <c r="E24" s="7" t="s">
        <v>31</v>
      </c>
      <c r="F24" s="7" t="str">
        <f t="shared" si="0"/>
        <v>octubre 2025</v>
      </c>
      <c r="G24" s="7">
        <f t="shared" si="1"/>
        <v>-125000</v>
      </c>
      <c r="H24" s="7" t="str">
        <f t="shared" si="3"/>
        <v>Gasto</v>
      </c>
    </row>
    <row r="25" spans="1:8" ht="22.5" customHeight="1" x14ac:dyDescent="0.25">
      <c r="A25" s="7" t="s">
        <v>104</v>
      </c>
      <c r="B25" s="7"/>
      <c r="C25" s="7">
        <v>132669</v>
      </c>
      <c r="D25" s="8">
        <v>45958</v>
      </c>
      <c r="E25" s="7" t="s">
        <v>58</v>
      </c>
      <c r="F25" s="7" t="str">
        <f t="shared" si="0"/>
        <v>octubre 2025</v>
      </c>
      <c r="G25" s="7">
        <f t="shared" si="1"/>
        <v>-18000</v>
      </c>
      <c r="H25" s="7" t="str">
        <f t="shared" si="3"/>
        <v>Gasto</v>
      </c>
    </row>
    <row r="26" spans="1:8" ht="22.5" customHeight="1" x14ac:dyDescent="0.25">
      <c r="A26" s="7" t="s">
        <v>106</v>
      </c>
      <c r="B26" s="7"/>
      <c r="C26" s="7">
        <v>400000</v>
      </c>
      <c r="D26" s="8">
        <v>45958</v>
      </c>
      <c r="E26" s="7" t="s">
        <v>72</v>
      </c>
      <c r="F26" s="7" t="str">
        <f t="shared" si="0"/>
        <v>octubre 2025</v>
      </c>
      <c r="G26" s="7">
        <f t="shared" si="1"/>
        <v>-132669</v>
      </c>
      <c r="H26" s="7" t="str">
        <f t="shared" si="3"/>
        <v>Gasto</v>
      </c>
    </row>
    <row r="27" spans="1:8" ht="22.5" customHeight="1" x14ac:dyDescent="0.25">
      <c r="A27" s="7" t="s">
        <v>107</v>
      </c>
      <c r="B27" s="7"/>
      <c r="C27" s="7">
        <v>67000</v>
      </c>
      <c r="D27" s="8">
        <v>45958</v>
      </c>
      <c r="E27" s="7" t="s">
        <v>50</v>
      </c>
      <c r="F27" s="7" t="str">
        <f t="shared" si="0"/>
        <v>octubre 2025</v>
      </c>
      <c r="G27" s="7">
        <f t="shared" si="1"/>
        <v>-400000</v>
      </c>
      <c r="H27" s="7" t="str">
        <f t="shared" si="3"/>
        <v>Gasto</v>
      </c>
    </row>
    <row r="28" spans="1:8" ht="22.5" customHeight="1" x14ac:dyDescent="0.25">
      <c r="A28" s="7" t="s">
        <v>108</v>
      </c>
      <c r="B28" s="7"/>
      <c r="C28" s="7">
        <v>60000</v>
      </c>
      <c r="D28" s="8">
        <v>45958</v>
      </c>
      <c r="E28" s="7" t="s">
        <v>31</v>
      </c>
      <c r="F28" s="7" t="str">
        <f t="shared" si="0"/>
        <v>octubre 2025</v>
      </c>
      <c r="G28" s="7">
        <f t="shared" si="1"/>
        <v>-67000</v>
      </c>
      <c r="H28" s="7" t="str">
        <f t="shared" si="3"/>
        <v>Gasto</v>
      </c>
    </row>
    <row r="29" spans="1:8" ht="22.5" customHeight="1" x14ac:dyDescent="0.25">
      <c r="A29" s="7" t="s">
        <v>109</v>
      </c>
      <c r="B29" s="7"/>
      <c r="C29" s="7">
        <v>20000</v>
      </c>
      <c r="D29" s="8">
        <v>45958</v>
      </c>
      <c r="E29" s="7" t="str">
        <f ca="1">IFERROR(__xludf.DUMMYFUNCTION("REGEXEXTRACT(A29,""[A-Za-z]+"")"),"Gastos")</f>
        <v>Gastos</v>
      </c>
      <c r="F29" s="7" t="str">
        <f t="shared" si="0"/>
        <v>octubre 2025</v>
      </c>
      <c r="G29" s="7">
        <f t="shared" si="1"/>
        <v>-60000</v>
      </c>
      <c r="H29" s="7" t="str">
        <f t="shared" si="3"/>
        <v>Gasto</v>
      </c>
    </row>
    <row r="30" spans="1:8" ht="22.5" customHeight="1" x14ac:dyDescent="0.25">
      <c r="A30" s="7" t="s">
        <v>111</v>
      </c>
      <c r="B30" s="7"/>
      <c r="C30" s="7">
        <v>17000</v>
      </c>
      <c r="D30" s="8">
        <v>45961</v>
      </c>
      <c r="E30" s="7" t="str">
        <f ca="1">IFERROR(__xludf.DUMMYFUNCTION("REGEXEXTRACT(A30,""[A-Za-z]+"")"),"Aplicacion")</f>
        <v>Aplicacion</v>
      </c>
      <c r="F30" s="7" t="str">
        <f t="shared" si="0"/>
        <v>octubre 2025</v>
      </c>
      <c r="G30" s="7">
        <f t="shared" si="1"/>
        <v>-20000</v>
      </c>
      <c r="H30" s="7" t="str">
        <f t="shared" si="3"/>
        <v>Gasto</v>
      </c>
    </row>
    <row r="31" spans="1:8" ht="22.5" customHeight="1" x14ac:dyDescent="0.25">
      <c r="A31" s="7" t="s">
        <v>112</v>
      </c>
      <c r="B31" s="7"/>
      <c r="C31" s="7">
        <v>200000</v>
      </c>
      <c r="D31" s="8">
        <v>45964</v>
      </c>
      <c r="E31" s="7" t="s">
        <v>113</v>
      </c>
      <c r="F31" s="7" t="str">
        <f t="shared" si="0"/>
        <v>noviembre 2025</v>
      </c>
      <c r="G31" s="7">
        <f t="shared" si="1"/>
        <v>-17000</v>
      </c>
      <c r="H31" s="7" t="str">
        <f t="shared" si="3"/>
        <v>Gasto</v>
      </c>
    </row>
    <row r="32" spans="1:8" ht="22.5" customHeight="1" x14ac:dyDescent="0.25">
      <c r="A32" s="7" t="s">
        <v>115</v>
      </c>
      <c r="B32" s="7"/>
      <c r="C32" s="7">
        <v>11000</v>
      </c>
      <c r="D32" s="8">
        <v>45966</v>
      </c>
      <c r="E32" s="7" t="s">
        <v>58</v>
      </c>
      <c r="F32" s="7" t="str">
        <f t="shared" si="0"/>
        <v>noviembre 2025</v>
      </c>
      <c r="G32" s="7">
        <f t="shared" si="1"/>
        <v>-200000</v>
      </c>
      <c r="H32" s="7" t="str">
        <f t="shared" si="3"/>
        <v>Gasto</v>
      </c>
    </row>
    <row r="33" spans="1:8" ht="22.5" customHeight="1" x14ac:dyDescent="0.25">
      <c r="A33" s="7" t="s">
        <v>116</v>
      </c>
      <c r="B33" s="7"/>
      <c r="C33" s="7">
        <v>20500</v>
      </c>
      <c r="D33" s="8">
        <v>45966</v>
      </c>
      <c r="E33" s="7" t="str">
        <f ca="1">IFERROR(__xludf.DUMMYFUNCTION("REGEXEXTRACT(A33,""[A-Za-z]+"")"),"Servicios")</f>
        <v>Servicios</v>
      </c>
      <c r="F33" s="7" t="str">
        <f t="shared" si="0"/>
        <v>noviembre 2025</v>
      </c>
      <c r="G33" s="7">
        <f t="shared" si="1"/>
        <v>-11000</v>
      </c>
      <c r="H33" s="7" t="str">
        <f t="shared" si="3"/>
        <v>Gasto</v>
      </c>
    </row>
    <row r="34" spans="1:8" ht="22.5" customHeight="1" x14ac:dyDescent="0.25">
      <c r="A34" s="7" t="s">
        <v>117</v>
      </c>
      <c r="B34" s="7"/>
      <c r="C34" s="7">
        <v>98000</v>
      </c>
      <c r="D34" s="8">
        <v>45966</v>
      </c>
      <c r="E34" s="7" t="str">
        <f ca="1">IFERROR(__xludf.DUMMYFUNCTION("REGEXEXTRACT(A34,""[A-Za-z]+"")"),"Tarjeta")</f>
        <v>Tarjeta</v>
      </c>
      <c r="F34" s="7" t="str">
        <f t="shared" si="0"/>
        <v>noviembre 2025</v>
      </c>
      <c r="G34" s="7">
        <f t="shared" si="1"/>
        <v>-20500</v>
      </c>
      <c r="H34" s="7" t="str">
        <f t="shared" si="3"/>
        <v>Gasto</v>
      </c>
    </row>
    <row r="35" spans="1:8" ht="22.5" customHeight="1" x14ac:dyDescent="0.25">
      <c r="A35" s="7" t="s">
        <v>118</v>
      </c>
      <c r="B35" s="7">
        <v>66480</v>
      </c>
      <c r="C35" s="7"/>
      <c r="D35" s="8">
        <v>45966</v>
      </c>
      <c r="E35" s="7" t="s">
        <v>120</v>
      </c>
      <c r="F35" s="7" t="str">
        <f t="shared" si="0"/>
        <v>noviembre 2025</v>
      </c>
      <c r="G35" s="7">
        <f t="shared" si="1"/>
        <v>-98000</v>
      </c>
      <c r="H35" s="7" t="str">
        <f t="shared" si="3"/>
        <v>Gasto</v>
      </c>
    </row>
    <row r="36" spans="1:8" ht="22.5" customHeight="1" x14ac:dyDescent="0.25">
      <c r="A36" s="7" t="s">
        <v>121</v>
      </c>
      <c r="B36" s="7"/>
      <c r="C36" s="7">
        <v>350000</v>
      </c>
      <c r="D36" s="8">
        <v>45966</v>
      </c>
      <c r="E36" s="7" t="s">
        <v>50</v>
      </c>
      <c r="F36" s="7" t="str">
        <f t="shared" si="0"/>
        <v>noviembre 2025</v>
      </c>
      <c r="G36" s="7">
        <f t="shared" si="1"/>
        <v>66480</v>
      </c>
      <c r="H36" s="7" t="str">
        <f t="shared" si="3"/>
        <v>Ingreso</v>
      </c>
    </row>
    <row r="37" spans="1:8" ht="22.5" customHeight="1" x14ac:dyDescent="0.25">
      <c r="A37" s="7" t="s">
        <v>122</v>
      </c>
      <c r="B37" s="7">
        <v>2070000</v>
      </c>
      <c r="C37" s="7"/>
      <c r="D37" s="8">
        <v>45968</v>
      </c>
      <c r="E37" s="7" t="str">
        <f ca="1">IFERROR(__xludf.DUMMYFUNCTION("REGEXEXTRACT(A37,""[A-Za-z]+"")"),"Sueldo")</f>
        <v>Sueldo</v>
      </c>
      <c r="F37" s="7" t="str">
        <f t="shared" si="0"/>
        <v>noviembre 2025</v>
      </c>
      <c r="G37" s="7">
        <f t="shared" si="1"/>
        <v>-350000</v>
      </c>
      <c r="H37" s="7" t="str">
        <f t="shared" si="3"/>
        <v>Gasto</v>
      </c>
    </row>
    <row r="38" spans="1:8" ht="22.5" customHeight="1" x14ac:dyDescent="0.25">
      <c r="A38" s="7" t="s">
        <v>123</v>
      </c>
      <c r="B38" s="7">
        <v>24000</v>
      </c>
      <c r="C38" s="7"/>
      <c r="D38" s="8">
        <v>45969</v>
      </c>
      <c r="E38" s="7" t="str">
        <f ca="1">IFERROR(__xludf.DUMMYFUNCTION("REGEXEXTRACT(A38,""[A-Za-z]+"")"),"Uber")</f>
        <v>Uber</v>
      </c>
      <c r="F38" s="7" t="str">
        <f t="shared" si="0"/>
        <v>noviembre 2025</v>
      </c>
      <c r="G38" s="7">
        <f t="shared" si="1"/>
        <v>2070000</v>
      </c>
      <c r="H38" s="7" t="str">
        <f t="shared" si="3"/>
        <v>Ingreso</v>
      </c>
    </row>
    <row r="39" spans="1:8" ht="22.5" customHeight="1" x14ac:dyDescent="0.25">
      <c r="A39" s="7" t="s">
        <v>124</v>
      </c>
      <c r="B39" s="7">
        <v>15000</v>
      </c>
      <c r="C39" s="7"/>
      <c r="D39" s="8">
        <v>45970</v>
      </c>
      <c r="E39" s="7" t="str">
        <f ca="1">IFERROR(__xludf.DUMMYFUNCTION("REGEXEXTRACT(A39,""[A-Za-z]+"")"),"Uber")</f>
        <v>Uber</v>
      </c>
      <c r="F39" s="7" t="str">
        <f t="shared" si="0"/>
        <v>noviembre 2025</v>
      </c>
      <c r="G39" s="7">
        <f t="shared" si="1"/>
        <v>24000</v>
      </c>
      <c r="H39" s="7" t="str">
        <f t="shared" si="3"/>
        <v>Ingreso</v>
      </c>
    </row>
    <row r="40" spans="1:8" ht="22.5" customHeight="1" x14ac:dyDescent="0.25">
      <c r="A40" s="7" t="s">
        <v>125</v>
      </c>
      <c r="C40" s="7">
        <v>30000</v>
      </c>
      <c r="D40" s="8">
        <v>45971</v>
      </c>
      <c r="E40" s="7" t="s">
        <v>31</v>
      </c>
      <c r="F40" s="7" t="str">
        <f t="shared" si="0"/>
        <v>noviembre 2025</v>
      </c>
      <c r="G40" s="7">
        <f t="shared" si="1"/>
        <v>15000</v>
      </c>
      <c r="H40" s="7" t="str">
        <f t="shared" si="3"/>
        <v>Ingreso</v>
      </c>
    </row>
    <row r="41" spans="1:8" ht="22.5" customHeight="1" x14ac:dyDescent="0.25">
      <c r="A41" s="7" t="s">
        <v>127</v>
      </c>
      <c r="B41" s="7"/>
      <c r="C41" s="7">
        <v>13500</v>
      </c>
      <c r="D41" s="8">
        <v>45971</v>
      </c>
      <c r="E41" s="7" t="s">
        <v>31</v>
      </c>
      <c r="F41" s="7" t="str">
        <f t="shared" si="0"/>
        <v>noviembre 2025</v>
      </c>
      <c r="G41" s="7">
        <f t="shared" si="1"/>
        <v>-30000</v>
      </c>
      <c r="H41" s="7" t="str">
        <f t="shared" si="3"/>
        <v>Gasto</v>
      </c>
    </row>
    <row r="42" spans="1:8" ht="22.5" customHeight="1" x14ac:dyDescent="0.25">
      <c r="A42" s="7" t="s">
        <v>128</v>
      </c>
      <c r="B42" s="7"/>
      <c r="C42" s="7">
        <v>29500</v>
      </c>
      <c r="D42" s="8">
        <v>45971</v>
      </c>
      <c r="E42" s="7" t="s">
        <v>31</v>
      </c>
      <c r="F42" s="7" t="str">
        <f t="shared" si="0"/>
        <v>noviembre 2025</v>
      </c>
      <c r="G42" s="7">
        <f t="shared" si="1"/>
        <v>-13500</v>
      </c>
      <c r="H42" s="7" t="str">
        <f t="shared" si="3"/>
        <v>Gasto</v>
      </c>
    </row>
    <row r="43" spans="1:8" ht="22.5" customHeight="1" x14ac:dyDescent="0.25">
      <c r="A43" s="7" t="s">
        <v>133</v>
      </c>
      <c r="B43" s="7">
        <v>50000</v>
      </c>
      <c r="D43" s="8">
        <v>45972</v>
      </c>
      <c r="E43" s="7" t="str">
        <f ca="1">IFERROR(__xludf.DUMMYFUNCTION("REGEXEXTRACT(A43,""[A-Za-z]+"")"),"Uber")</f>
        <v>Uber</v>
      </c>
      <c r="F43" s="7" t="str">
        <f t="shared" si="0"/>
        <v>noviembre 2025</v>
      </c>
      <c r="G43" s="7">
        <f t="shared" si="1"/>
        <v>-29500</v>
      </c>
      <c r="H43" s="7" t="str">
        <f t="shared" si="3"/>
        <v>Gasto</v>
      </c>
    </row>
    <row r="44" spans="1:8" ht="22.5" customHeight="1" x14ac:dyDescent="0.25">
      <c r="A44" s="7" t="s">
        <v>137</v>
      </c>
      <c r="B44" s="7">
        <v>66700</v>
      </c>
      <c r="C44" s="7"/>
      <c r="D44" s="8">
        <v>45975</v>
      </c>
      <c r="E44" s="7" t="s">
        <v>120</v>
      </c>
      <c r="F44" s="7" t="str">
        <f t="shared" si="0"/>
        <v>noviembre 2025</v>
      </c>
      <c r="G44" s="7">
        <f t="shared" si="1"/>
        <v>50000</v>
      </c>
      <c r="H44" s="7" t="str">
        <f t="shared" si="3"/>
        <v>Ingreso</v>
      </c>
    </row>
    <row r="45" spans="1:8" ht="22.5" customHeight="1" x14ac:dyDescent="0.25">
      <c r="A45" s="7" t="s">
        <v>138</v>
      </c>
      <c r="B45" s="7"/>
      <c r="C45" s="7">
        <v>700000</v>
      </c>
      <c r="D45" s="8">
        <v>45975</v>
      </c>
      <c r="E45" s="7" t="s">
        <v>50</v>
      </c>
      <c r="F45" s="7" t="str">
        <f t="shared" si="0"/>
        <v>noviembre 2025</v>
      </c>
      <c r="G45" s="7">
        <f t="shared" si="1"/>
        <v>66700</v>
      </c>
      <c r="H45" s="7" t="str">
        <f t="shared" si="3"/>
        <v>Ingreso</v>
      </c>
    </row>
    <row r="46" spans="1:8" ht="22.5" customHeight="1" x14ac:dyDescent="0.25">
      <c r="A46" s="7" t="s">
        <v>140</v>
      </c>
      <c r="B46" s="7"/>
      <c r="C46" s="7">
        <v>20000</v>
      </c>
      <c r="D46" s="8">
        <v>45975</v>
      </c>
      <c r="E46" s="7" t="s">
        <v>58</v>
      </c>
      <c r="F46" s="7" t="str">
        <f t="shared" si="0"/>
        <v>noviembre 2025</v>
      </c>
      <c r="G46" s="7">
        <f t="shared" si="1"/>
        <v>-700000</v>
      </c>
      <c r="H46" s="7" t="str">
        <f t="shared" si="3"/>
        <v>Gasto</v>
      </c>
    </row>
    <row r="47" spans="1:8" ht="22.5" customHeight="1" x14ac:dyDescent="0.25">
      <c r="A47" s="7" t="s">
        <v>143</v>
      </c>
      <c r="B47" s="7">
        <v>80000</v>
      </c>
      <c r="C47" s="7"/>
      <c r="D47" s="8">
        <v>45977</v>
      </c>
      <c r="E47" s="7" t="s">
        <v>72</v>
      </c>
      <c r="F47" s="7" t="str">
        <f t="shared" si="0"/>
        <v>noviembre 2025</v>
      </c>
      <c r="G47" s="7">
        <f t="shared" si="1"/>
        <v>-20000</v>
      </c>
      <c r="H47" s="7" t="str">
        <f t="shared" si="3"/>
        <v>Gasto</v>
      </c>
    </row>
    <row r="48" spans="1:8" ht="22.5" customHeight="1" x14ac:dyDescent="0.25">
      <c r="A48" s="7" t="s">
        <v>144</v>
      </c>
      <c r="B48" s="7"/>
      <c r="C48" s="7">
        <v>70000</v>
      </c>
      <c r="D48" s="8">
        <v>45977</v>
      </c>
      <c r="E48" s="7" t="s">
        <v>145</v>
      </c>
      <c r="F48" s="7" t="str">
        <f t="shared" si="0"/>
        <v>noviembre 2025</v>
      </c>
      <c r="G48" s="7">
        <f t="shared" si="1"/>
        <v>80000</v>
      </c>
      <c r="H48" s="7" t="str">
        <f t="shared" si="3"/>
        <v>Ingreso</v>
      </c>
    </row>
    <row r="49" spans="1:8" ht="22.5" customHeight="1" x14ac:dyDescent="0.25">
      <c r="A49" s="7" t="s">
        <v>146</v>
      </c>
      <c r="B49" s="7"/>
      <c r="C49" s="7">
        <v>54000</v>
      </c>
      <c r="D49" s="8">
        <v>45977</v>
      </c>
      <c r="E49" s="7" t="s">
        <v>76</v>
      </c>
      <c r="F49" s="7" t="str">
        <f t="shared" si="0"/>
        <v>noviembre 2025</v>
      </c>
      <c r="G49" s="7">
        <f t="shared" si="1"/>
        <v>-70000</v>
      </c>
      <c r="H49" s="7" t="str">
        <f t="shared" si="3"/>
        <v>Gasto</v>
      </c>
    </row>
    <row r="50" spans="1:8" ht="22.5" customHeight="1" x14ac:dyDescent="0.25">
      <c r="A50" s="7" t="s">
        <v>147</v>
      </c>
      <c r="B50" s="7"/>
      <c r="C50" s="7">
        <v>15000</v>
      </c>
      <c r="D50" s="8">
        <v>45981</v>
      </c>
      <c r="E50" s="7" t="s">
        <v>58</v>
      </c>
      <c r="F50" s="7" t="str">
        <f t="shared" si="0"/>
        <v>noviembre 2025</v>
      </c>
      <c r="G50" s="7">
        <f t="shared" si="1"/>
        <v>-54000</v>
      </c>
      <c r="H50" s="7" t="str">
        <f t="shared" si="3"/>
        <v>Gasto</v>
      </c>
    </row>
    <row r="51" spans="1:8" ht="22.5" customHeight="1" x14ac:dyDescent="0.25">
      <c r="A51" s="7" t="s">
        <v>151</v>
      </c>
      <c r="B51" s="7"/>
      <c r="C51" s="7">
        <f>20000+18000+19500+39000+24000+18000</f>
        <v>138500</v>
      </c>
      <c r="D51" s="8">
        <v>45984</v>
      </c>
      <c r="E51" s="7" t="s">
        <v>152</v>
      </c>
      <c r="F51" s="7" t="str">
        <f t="shared" si="0"/>
        <v>noviembre 2025</v>
      </c>
      <c r="G51" s="7">
        <f t="shared" si="1"/>
        <v>-15000</v>
      </c>
      <c r="H51" s="7" t="str">
        <f t="shared" si="3"/>
        <v>Gasto</v>
      </c>
    </row>
    <row r="52" spans="1:8" ht="22.5" customHeight="1" x14ac:dyDescent="0.25">
      <c r="A52" s="7" t="s">
        <v>158</v>
      </c>
      <c r="B52" s="7"/>
      <c r="C52" s="7">
        <v>136600</v>
      </c>
      <c r="D52" s="8">
        <v>45987</v>
      </c>
      <c r="E52" s="7" t="s">
        <v>58</v>
      </c>
      <c r="F52" s="7" t="str">
        <f t="shared" si="0"/>
        <v>noviembre 2025</v>
      </c>
      <c r="G52" s="7">
        <f t="shared" si="1"/>
        <v>-138500</v>
      </c>
      <c r="H52" s="7" t="str">
        <f t="shared" si="3"/>
        <v>Gasto</v>
      </c>
    </row>
    <row r="53" spans="1:8" ht="22.5" customHeight="1" x14ac:dyDescent="0.25">
      <c r="A53" s="7" t="s">
        <v>159</v>
      </c>
      <c r="B53" s="7">
        <v>11590</v>
      </c>
      <c r="C53" s="7"/>
      <c r="D53" s="8">
        <v>45991</v>
      </c>
      <c r="E53" s="7" t="str">
        <f ca="1">IFERROR(__xludf.DUMMYFUNCTION("REGEXEXTRACT(A53,""[A-Za-z]+"")"),"Aplicacion")</f>
        <v>Aplicacion</v>
      </c>
      <c r="F53" s="7" t="str">
        <f t="shared" si="0"/>
        <v>noviembre 2025</v>
      </c>
      <c r="G53" s="7">
        <f t="shared" si="1"/>
        <v>-136600</v>
      </c>
      <c r="H53" s="7" t="str">
        <f t="shared" si="3"/>
        <v>Gasto</v>
      </c>
    </row>
    <row r="54" spans="1:8" ht="22.5" customHeight="1" x14ac:dyDescent="0.25">
      <c r="A54" s="7" t="s">
        <v>162</v>
      </c>
      <c r="B54" s="7"/>
      <c r="C54" s="7">
        <v>21000</v>
      </c>
      <c r="D54" s="8">
        <v>45994</v>
      </c>
      <c r="E54" s="7" t="s">
        <v>31</v>
      </c>
      <c r="F54" s="7" t="str">
        <f t="shared" si="0"/>
        <v>diciembre 2025</v>
      </c>
      <c r="G54" s="7">
        <f t="shared" si="1"/>
        <v>11590</v>
      </c>
      <c r="H54" s="7" t="str">
        <f t="shared" si="3"/>
        <v>Ingreso</v>
      </c>
    </row>
    <row r="55" spans="1:8" ht="22.5" customHeight="1" x14ac:dyDescent="0.25">
      <c r="A55" s="7" t="s">
        <v>163</v>
      </c>
      <c r="B55" s="7">
        <v>71000</v>
      </c>
      <c r="C55" s="7"/>
      <c r="D55" s="8">
        <v>45995</v>
      </c>
      <c r="E55" s="7" t="s">
        <v>120</v>
      </c>
      <c r="F55" s="7" t="str">
        <f t="shared" si="0"/>
        <v>diciembre 2025</v>
      </c>
      <c r="G55" s="7">
        <f t="shared" si="1"/>
        <v>-21000</v>
      </c>
      <c r="H55" s="7" t="str">
        <f t="shared" si="3"/>
        <v>Gasto</v>
      </c>
    </row>
    <row r="56" spans="1:8" ht="22.5" customHeight="1" x14ac:dyDescent="0.25">
      <c r="A56" s="7" t="s">
        <v>165</v>
      </c>
      <c r="B56" s="7"/>
      <c r="C56" s="7">
        <v>11800</v>
      </c>
      <c r="D56" s="8">
        <v>45995</v>
      </c>
      <c r="E56" s="7" t="s">
        <v>31</v>
      </c>
      <c r="F56" s="7" t="str">
        <f t="shared" si="0"/>
        <v>diciembre 2025</v>
      </c>
      <c r="G56" s="7">
        <f t="shared" si="1"/>
        <v>71000</v>
      </c>
      <c r="H56" s="7" t="str">
        <f t="shared" si="3"/>
        <v>Ingreso</v>
      </c>
    </row>
    <row r="57" spans="1:8" ht="22.5" customHeight="1" x14ac:dyDescent="0.25">
      <c r="A57" s="7" t="s">
        <v>166</v>
      </c>
      <c r="B57" s="7"/>
      <c r="C57" s="7">
        <v>11000</v>
      </c>
      <c r="D57" s="8">
        <v>45995</v>
      </c>
      <c r="E57" s="7" t="s">
        <v>58</v>
      </c>
      <c r="F57" s="7" t="str">
        <f t="shared" si="0"/>
        <v>diciembre 2025</v>
      </c>
      <c r="G57" s="7">
        <f t="shared" si="1"/>
        <v>-11800</v>
      </c>
      <c r="H57" s="7" t="str">
        <f t="shared" si="3"/>
        <v>Gasto</v>
      </c>
    </row>
    <row r="58" spans="1:8" ht="22.5" customHeight="1" x14ac:dyDescent="0.25">
      <c r="A58" s="7" t="s">
        <v>112</v>
      </c>
      <c r="B58" s="7"/>
      <c r="C58" s="7">
        <v>200000</v>
      </c>
      <c r="D58" s="8">
        <v>45995</v>
      </c>
      <c r="E58" s="7" t="s">
        <v>113</v>
      </c>
      <c r="F58" s="7" t="str">
        <f t="shared" si="0"/>
        <v>diciembre 2025</v>
      </c>
      <c r="G58" s="7">
        <f t="shared" si="1"/>
        <v>-11000</v>
      </c>
      <c r="H58" s="7" t="str">
        <f t="shared" si="3"/>
        <v>Gasto</v>
      </c>
    </row>
    <row r="59" spans="1:8" ht="22.5" customHeight="1" x14ac:dyDescent="0.25">
      <c r="A59" s="7" t="s">
        <v>171</v>
      </c>
      <c r="B59" s="7"/>
      <c r="C59" s="7">
        <v>75000</v>
      </c>
      <c r="D59" s="8">
        <v>45995</v>
      </c>
      <c r="E59" s="7" t="s">
        <v>145</v>
      </c>
      <c r="F59" s="7" t="str">
        <f t="shared" si="0"/>
        <v>diciembre 2025</v>
      </c>
      <c r="G59" s="7">
        <f t="shared" si="1"/>
        <v>-200000</v>
      </c>
      <c r="H59" s="7" t="str">
        <f t="shared" si="3"/>
        <v>Gasto</v>
      </c>
    </row>
    <row r="60" spans="1:8" ht="22.5" customHeight="1" x14ac:dyDescent="0.25">
      <c r="A60" s="7" t="s">
        <v>172</v>
      </c>
      <c r="B60" s="7"/>
      <c r="C60" s="7">
        <v>47500</v>
      </c>
      <c r="D60" s="8">
        <v>45995</v>
      </c>
      <c r="E60" s="7" t="s">
        <v>58</v>
      </c>
      <c r="F60" s="7" t="str">
        <f t="shared" si="0"/>
        <v>diciembre 2025</v>
      </c>
      <c r="G60" s="7">
        <f t="shared" si="1"/>
        <v>-75000</v>
      </c>
      <c r="H60" s="7" t="str">
        <f t="shared" si="3"/>
        <v>Gasto</v>
      </c>
    </row>
    <row r="61" spans="1:8" ht="22.5" customHeight="1" x14ac:dyDescent="0.25">
      <c r="A61" s="7" t="s">
        <v>173</v>
      </c>
      <c r="B61" s="7"/>
      <c r="C61" s="7">
        <v>147727.75</v>
      </c>
      <c r="D61" s="8">
        <v>45995</v>
      </c>
      <c r="E61" s="7" t="s">
        <v>84</v>
      </c>
      <c r="F61" s="7" t="str">
        <f t="shared" si="0"/>
        <v>diciembre 2025</v>
      </c>
      <c r="G61" s="7">
        <f t="shared" si="1"/>
        <v>-47500</v>
      </c>
      <c r="H61" s="7" t="str">
        <f t="shared" si="3"/>
        <v>Gasto</v>
      </c>
    </row>
    <row r="62" spans="1:8" ht="22.5" customHeight="1" x14ac:dyDescent="0.25">
      <c r="A62" s="7" t="s">
        <v>175</v>
      </c>
      <c r="B62" s="7"/>
      <c r="C62" s="7">
        <v>375000</v>
      </c>
      <c r="D62" s="8">
        <v>45995</v>
      </c>
      <c r="E62" s="7" t="s">
        <v>50</v>
      </c>
      <c r="F62" s="7" t="str">
        <f t="shared" si="0"/>
        <v>diciembre 2025</v>
      </c>
      <c r="G62" s="7">
        <f t="shared" si="1"/>
        <v>-147727.75</v>
      </c>
      <c r="H62" s="7" t="str">
        <f t="shared" si="3"/>
        <v>Gasto</v>
      </c>
    </row>
    <row r="63" spans="1:8" ht="22.5" customHeight="1" x14ac:dyDescent="0.25">
      <c r="A63" s="7" t="s">
        <v>76</v>
      </c>
      <c r="B63" s="7"/>
      <c r="C63" s="7">
        <v>70000</v>
      </c>
      <c r="D63" s="8">
        <v>45995</v>
      </c>
      <c r="E63" s="7" t="str">
        <f ca="1">IFERROR(__xludf.DUMMYFUNCTION("REGEXEXTRACT(A63,""[A-Za-z]+"")"),"Combustible")</f>
        <v>Combustible</v>
      </c>
      <c r="F63" s="7" t="str">
        <f t="shared" si="0"/>
        <v>diciembre 2025</v>
      </c>
      <c r="G63" s="7">
        <f t="shared" si="1"/>
        <v>-375000</v>
      </c>
      <c r="H63" s="7" t="str">
        <f t="shared" si="3"/>
        <v>Gasto</v>
      </c>
    </row>
    <row r="64" spans="1:8" ht="22.5" customHeight="1" x14ac:dyDescent="0.25">
      <c r="A64" s="7" t="s">
        <v>177</v>
      </c>
      <c r="B64" s="7"/>
      <c r="C64" s="7">
        <v>17000</v>
      </c>
      <c r="D64" s="8">
        <v>45995</v>
      </c>
      <c r="E64" s="7" t="s">
        <v>58</v>
      </c>
      <c r="F64" s="7" t="str">
        <f t="shared" si="0"/>
        <v>diciembre 2025</v>
      </c>
      <c r="G64" s="7">
        <f t="shared" si="1"/>
        <v>-70000</v>
      </c>
      <c r="H64" s="7" t="str">
        <f t="shared" si="3"/>
        <v>Gasto</v>
      </c>
    </row>
    <row r="65" spans="1:8" ht="22.5" customHeight="1" x14ac:dyDescent="0.25">
      <c r="A65" s="7" t="s">
        <v>178</v>
      </c>
      <c r="B65" s="7">
        <v>2111000</v>
      </c>
      <c r="C65" s="7"/>
      <c r="D65" s="8">
        <v>45996</v>
      </c>
      <c r="E65" s="7" t="str">
        <f ca="1">IFERROR(__xludf.DUMMYFUNCTION("REGEXEXTRACT(A65,""[A-Za-z]+"")"),"Sueldo")</f>
        <v>Sueldo</v>
      </c>
      <c r="F65" s="7" t="str">
        <f t="shared" si="0"/>
        <v>diciembre 2025</v>
      </c>
      <c r="G65" s="7">
        <f t="shared" si="1"/>
        <v>-17000</v>
      </c>
      <c r="H65" s="7" t="str">
        <f t="shared" si="3"/>
        <v>Gasto</v>
      </c>
    </row>
    <row r="66" spans="1:8" ht="22.5" customHeight="1" x14ac:dyDescent="0.25">
      <c r="A66" s="7" t="s">
        <v>179</v>
      </c>
      <c r="B66" s="7"/>
      <c r="C66" s="7">
        <v>10000</v>
      </c>
      <c r="D66" s="8">
        <v>45997</v>
      </c>
      <c r="E66" s="7" t="s">
        <v>180</v>
      </c>
      <c r="F66" s="7" t="str">
        <f t="shared" si="0"/>
        <v>diciembre 2025</v>
      </c>
      <c r="G66" s="7">
        <f t="shared" si="1"/>
        <v>2111000</v>
      </c>
      <c r="H66" s="7" t="str">
        <f t="shared" si="3"/>
        <v>Ingreso</v>
      </c>
    </row>
    <row r="67" spans="1:8" ht="22.5" customHeight="1" x14ac:dyDescent="0.25">
      <c r="A67" s="7" t="s">
        <v>181</v>
      </c>
      <c r="B67" s="7"/>
      <c r="C67" s="7">
        <v>12000</v>
      </c>
      <c r="D67" s="8">
        <v>45997</v>
      </c>
      <c r="E67" s="7" t="s">
        <v>180</v>
      </c>
      <c r="F67" s="7" t="str">
        <f t="shared" si="0"/>
        <v>diciembre 2025</v>
      </c>
      <c r="G67" s="7">
        <f t="shared" si="1"/>
        <v>-10000</v>
      </c>
      <c r="H67" s="7" t="str">
        <f t="shared" si="3"/>
        <v>Gasto</v>
      </c>
    </row>
    <row r="68" spans="1:8" ht="22.5" customHeight="1" x14ac:dyDescent="0.25">
      <c r="A68" s="7" t="s">
        <v>182</v>
      </c>
      <c r="B68" s="7"/>
      <c r="C68" s="7">
        <v>44400</v>
      </c>
      <c r="D68" s="8">
        <v>45999</v>
      </c>
      <c r="E68" s="7" t="s">
        <v>180</v>
      </c>
      <c r="F68" s="7" t="str">
        <f t="shared" si="0"/>
        <v>diciembre 2025</v>
      </c>
      <c r="G68" s="7">
        <f t="shared" si="1"/>
        <v>-12000</v>
      </c>
      <c r="H68" s="7" t="str">
        <f t="shared" si="3"/>
        <v>Gasto</v>
      </c>
    </row>
    <row r="69" spans="1:8" ht="22.5" customHeight="1" x14ac:dyDescent="0.25">
      <c r="A69" s="7" t="s">
        <v>118</v>
      </c>
      <c r="B69" s="7">
        <v>68120</v>
      </c>
      <c r="C69" s="7"/>
      <c r="D69" s="8">
        <v>46000</v>
      </c>
      <c r="E69" s="7" t="s">
        <v>120</v>
      </c>
      <c r="F69" s="7" t="str">
        <f t="shared" si="0"/>
        <v>diciembre 2025</v>
      </c>
      <c r="G69" s="7">
        <f t="shared" si="1"/>
        <v>-44400</v>
      </c>
      <c r="H69" s="7" t="str">
        <f t="shared" si="3"/>
        <v>Gasto</v>
      </c>
    </row>
    <row r="70" spans="1:8" ht="22.5" customHeight="1" x14ac:dyDescent="0.25">
      <c r="A70" s="7" t="s">
        <v>118</v>
      </c>
      <c r="B70" s="7">
        <v>30400</v>
      </c>
      <c r="C70" s="7"/>
      <c r="D70" s="8">
        <v>46000</v>
      </c>
      <c r="E70" s="7" t="s">
        <v>120</v>
      </c>
      <c r="F70" s="7" t="str">
        <f t="shared" si="0"/>
        <v>diciembre 2025</v>
      </c>
      <c r="G70" s="7">
        <f t="shared" si="1"/>
        <v>68120</v>
      </c>
      <c r="H70" s="7" t="str">
        <f t="shared" si="3"/>
        <v>Ingreso</v>
      </c>
    </row>
    <row r="71" spans="1:8" ht="22.5" customHeight="1" x14ac:dyDescent="0.25">
      <c r="A71" s="7" t="s">
        <v>183</v>
      </c>
      <c r="C71" s="7">
        <v>1000</v>
      </c>
      <c r="D71" s="8">
        <v>46000</v>
      </c>
      <c r="E71" s="7" t="s">
        <v>180</v>
      </c>
      <c r="F71" s="7" t="str">
        <f t="shared" si="0"/>
        <v>diciembre 2025</v>
      </c>
      <c r="G71" s="7">
        <f t="shared" si="1"/>
        <v>30400</v>
      </c>
      <c r="H71" s="7" t="str">
        <f t="shared" si="3"/>
        <v>Ingreso</v>
      </c>
    </row>
    <row r="72" spans="1:8" ht="22.5" customHeight="1" x14ac:dyDescent="0.25">
      <c r="A72" s="7" t="s">
        <v>185</v>
      </c>
      <c r="B72" s="7"/>
      <c r="C72" s="7">
        <v>8000</v>
      </c>
      <c r="D72" s="8">
        <v>46002</v>
      </c>
      <c r="E72" s="7" t="s">
        <v>180</v>
      </c>
      <c r="F72" s="7" t="str">
        <f t="shared" si="0"/>
        <v>diciembre 2025</v>
      </c>
      <c r="G72" s="7">
        <f t="shared" si="1"/>
        <v>-1000</v>
      </c>
      <c r="H72" s="7" t="str">
        <f t="shared" si="3"/>
        <v>Gasto</v>
      </c>
    </row>
    <row r="73" spans="1:8" ht="22.5" customHeight="1" x14ac:dyDescent="0.25">
      <c r="A73" s="7" t="s">
        <v>76</v>
      </c>
      <c r="B73" s="7"/>
      <c r="C73" s="7">
        <v>45000</v>
      </c>
      <c r="D73" s="8">
        <v>46003</v>
      </c>
      <c r="E73" s="7" t="str">
        <f ca="1">IFERROR(__xludf.DUMMYFUNCTION("REGEXEXTRACT(A73,""[A-Za-z]+"")"),"Combustible")</f>
        <v>Combustible</v>
      </c>
      <c r="F73" s="7" t="str">
        <f t="shared" si="0"/>
        <v>diciembre 2025</v>
      </c>
      <c r="G73" s="7">
        <f t="shared" si="1"/>
        <v>-8000</v>
      </c>
      <c r="H73" s="7" t="str">
        <f t="shared" si="3"/>
        <v>Gasto</v>
      </c>
    </row>
    <row r="74" spans="1:8" ht="22.5" customHeight="1" x14ac:dyDescent="0.25">
      <c r="A74" s="7" t="s">
        <v>140</v>
      </c>
      <c r="B74" s="7"/>
      <c r="C74" s="7">
        <v>20000</v>
      </c>
      <c r="D74" s="8">
        <v>46003</v>
      </c>
      <c r="E74" s="7" t="s">
        <v>187</v>
      </c>
      <c r="F74" s="7" t="str">
        <f t="shared" si="0"/>
        <v>diciembre 2025</v>
      </c>
      <c r="G74" s="7">
        <f t="shared" si="1"/>
        <v>-45000</v>
      </c>
      <c r="H74" s="7" t="str">
        <f t="shared" si="3"/>
        <v>Gasto</v>
      </c>
    </row>
    <row r="75" spans="1:8" ht="22.5" customHeight="1" x14ac:dyDescent="0.25">
      <c r="A75" s="7" t="s">
        <v>158</v>
      </c>
      <c r="B75" s="7"/>
      <c r="C75" s="7">
        <v>107300</v>
      </c>
      <c r="D75" s="8">
        <v>46010</v>
      </c>
      <c r="E75" s="7" t="s">
        <v>58</v>
      </c>
      <c r="F75" s="7" t="str">
        <f t="shared" si="0"/>
        <v>diciembre 2025</v>
      </c>
      <c r="G75" s="7">
        <f t="shared" si="1"/>
        <v>-20000</v>
      </c>
      <c r="H75" s="7" t="str">
        <f t="shared" si="3"/>
        <v>Gasto</v>
      </c>
    </row>
    <row r="76" spans="1:8" ht="22.5" customHeight="1" x14ac:dyDescent="0.25">
      <c r="A76" s="7" t="s">
        <v>188</v>
      </c>
      <c r="B76" s="7"/>
      <c r="C76" s="7">
        <v>18400</v>
      </c>
      <c r="D76" s="8">
        <v>46010</v>
      </c>
      <c r="E76" s="7" t="s">
        <v>58</v>
      </c>
      <c r="F76" s="7" t="str">
        <f t="shared" si="0"/>
        <v>diciembre 2025</v>
      </c>
      <c r="G76" s="7">
        <f t="shared" si="1"/>
        <v>-107300</v>
      </c>
      <c r="H76" s="7" t="str">
        <f t="shared" si="3"/>
        <v>Gasto</v>
      </c>
    </row>
    <row r="77" spans="1:8" ht="22.5" customHeight="1" x14ac:dyDescent="0.25">
      <c r="A77" s="7" t="s">
        <v>76</v>
      </c>
      <c r="B77" s="7"/>
      <c r="C77" s="7">
        <v>35000</v>
      </c>
      <c r="D77" s="8">
        <v>46010</v>
      </c>
      <c r="E77" s="7" t="s">
        <v>76</v>
      </c>
      <c r="F77" s="7" t="str">
        <f t="shared" si="0"/>
        <v>diciembre 2025</v>
      </c>
      <c r="G77" s="7">
        <f t="shared" si="1"/>
        <v>-18400</v>
      </c>
      <c r="H77" s="7" t="str">
        <f t="shared" si="3"/>
        <v>Gasto</v>
      </c>
    </row>
    <row r="78" spans="1:8" ht="22.5" customHeight="1" x14ac:dyDescent="0.25">
      <c r="A78" s="7" t="s">
        <v>190</v>
      </c>
      <c r="B78" s="7">
        <v>1037000</v>
      </c>
      <c r="C78" s="7"/>
      <c r="D78" s="8">
        <v>46010</v>
      </c>
      <c r="E78" s="7" t="s">
        <v>0</v>
      </c>
      <c r="F78" s="7" t="str">
        <f t="shared" si="0"/>
        <v>diciembre 2025</v>
      </c>
      <c r="G78" s="7">
        <f t="shared" si="1"/>
        <v>-35000</v>
      </c>
      <c r="H78" s="7" t="str">
        <f t="shared" si="3"/>
        <v>Gasto</v>
      </c>
    </row>
    <row r="79" spans="1:8" ht="22.5" customHeight="1" x14ac:dyDescent="0.25">
      <c r="A79" s="7" t="s">
        <v>191</v>
      </c>
      <c r="B79" s="7"/>
      <c r="C79" s="7">
        <v>15000</v>
      </c>
      <c r="D79" s="8">
        <v>46010</v>
      </c>
      <c r="E79" s="7" t="s">
        <v>187</v>
      </c>
      <c r="F79" s="7" t="str">
        <f t="shared" si="0"/>
        <v>diciembre 2025</v>
      </c>
      <c r="G79" s="7">
        <f t="shared" si="1"/>
        <v>1037000</v>
      </c>
      <c r="H79" s="7" t="str">
        <f t="shared" si="3"/>
        <v>Ingreso</v>
      </c>
    </row>
    <row r="80" spans="1:8" ht="22.5" customHeight="1" x14ac:dyDescent="0.25">
      <c r="A80" s="7" t="s">
        <v>192</v>
      </c>
      <c r="B80" s="7">
        <v>44000</v>
      </c>
      <c r="C80" s="7"/>
      <c r="D80" s="8">
        <v>46012</v>
      </c>
      <c r="E80" s="7" t="s">
        <v>33</v>
      </c>
      <c r="F80" s="7" t="str">
        <f t="shared" si="0"/>
        <v>diciembre 2025</v>
      </c>
      <c r="G80" s="7">
        <f t="shared" si="1"/>
        <v>-15000</v>
      </c>
      <c r="H80" s="7" t="str">
        <f t="shared" si="3"/>
        <v>Gasto</v>
      </c>
    </row>
    <row r="81" spans="1:8" ht="22.5" customHeight="1" x14ac:dyDescent="0.25">
      <c r="A81" s="7" t="s">
        <v>193</v>
      </c>
      <c r="B81" s="7"/>
      <c r="C81" s="7">
        <v>60000</v>
      </c>
      <c r="D81" s="8">
        <v>46012</v>
      </c>
      <c r="E81" s="7" t="s">
        <v>180</v>
      </c>
      <c r="F81" s="7" t="str">
        <f t="shared" si="0"/>
        <v>diciembre 2025</v>
      </c>
      <c r="G81" s="7">
        <f t="shared" si="1"/>
        <v>44000</v>
      </c>
      <c r="H81" s="7" t="str">
        <f t="shared" si="3"/>
        <v>Ingreso</v>
      </c>
    </row>
    <row r="82" spans="1:8" ht="22.5" customHeight="1" x14ac:dyDescent="0.25">
      <c r="A82" s="7" t="s">
        <v>194</v>
      </c>
      <c r="B82" s="7">
        <v>69000</v>
      </c>
      <c r="D82" s="8">
        <v>46012</v>
      </c>
      <c r="E82" s="7" t="s">
        <v>33</v>
      </c>
      <c r="F82" s="7" t="str">
        <f t="shared" si="0"/>
        <v>diciembre 2025</v>
      </c>
      <c r="G82" s="7">
        <f t="shared" si="1"/>
        <v>-60000</v>
      </c>
      <c r="H82" s="7" t="str">
        <f t="shared" si="3"/>
        <v>Gasto</v>
      </c>
    </row>
    <row r="83" spans="1:8" ht="22.5" customHeight="1" x14ac:dyDescent="0.25">
      <c r="A83" s="7" t="s">
        <v>195</v>
      </c>
      <c r="B83" s="7"/>
      <c r="C83" s="7">
        <v>100000</v>
      </c>
      <c r="D83" s="8">
        <v>46012</v>
      </c>
      <c r="E83" s="7" t="s">
        <v>113</v>
      </c>
      <c r="F83" s="7" t="str">
        <f t="shared" si="0"/>
        <v>diciembre 2025</v>
      </c>
      <c r="G83" s="7">
        <f t="shared" si="1"/>
        <v>69000</v>
      </c>
      <c r="H83" s="7" t="str">
        <f t="shared" si="3"/>
        <v>Ingreso</v>
      </c>
    </row>
    <row r="84" spans="1:8" ht="22.5" customHeight="1" x14ac:dyDescent="0.25">
      <c r="A84" s="7" t="s">
        <v>197</v>
      </c>
      <c r="B84" s="7"/>
      <c r="C84" s="7">
        <v>100000</v>
      </c>
      <c r="D84" s="8">
        <v>46012</v>
      </c>
      <c r="E84" s="7" t="s">
        <v>50</v>
      </c>
      <c r="F84" s="7" t="str">
        <f t="shared" si="0"/>
        <v>diciembre 2025</v>
      </c>
      <c r="G84" s="7">
        <f t="shared" si="1"/>
        <v>-100000</v>
      </c>
      <c r="H84" s="7" t="str">
        <f t="shared" si="3"/>
        <v>Gasto</v>
      </c>
    </row>
    <row r="85" spans="1:8" ht="22.5" customHeight="1" x14ac:dyDescent="0.25">
      <c r="A85" s="7" t="s">
        <v>76</v>
      </c>
      <c r="B85" s="7"/>
      <c r="C85" s="7">
        <v>67000</v>
      </c>
      <c r="D85" s="8">
        <v>46013</v>
      </c>
      <c r="E85" s="7" t="s">
        <v>76</v>
      </c>
      <c r="F85" s="7" t="str">
        <f t="shared" si="0"/>
        <v>diciembre 2025</v>
      </c>
      <c r="G85" s="7">
        <f t="shared" si="1"/>
        <v>-100000</v>
      </c>
      <c r="H85" s="7" t="str">
        <f t="shared" si="3"/>
        <v>Gasto</v>
      </c>
    </row>
    <row r="86" spans="1:8" ht="22.5" customHeight="1" x14ac:dyDescent="0.25">
      <c r="A86" s="7" t="s">
        <v>199</v>
      </c>
      <c r="B86" s="7">
        <v>340900</v>
      </c>
      <c r="C86" s="7"/>
      <c r="D86" s="8">
        <v>46013</v>
      </c>
      <c r="E86" s="7" t="s">
        <v>33</v>
      </c>
      <c r="F86" s="7" t="str">
        <f t="shared" si="0"/>
        <v>diciembre 2025</v>
      </c>
      <c r="G86" s="7">
        <f t="shared" si="1"/>
        <v>-67000</v>
      </c>
      <c r="H86" s="7" t="str">
        <f t="shared" si="3"/>
        <v>Gasto</v>
      </c>
    </row>
    <row r="87" spans="1:8" ht="22.5" customHeight="1" x14ac:dyDescent="0.25">
      <c r="A87" s="7" t="s">
        <v>201</v>
      </c>
      <c r="C87" s="7">
        <v>50000</v>
      </c>
      <c r="D87" s="8">
        <v>46015</v>
      </c>
      <c r="E87" s="7" t="s">
        <v>180</v>
      </c>
      <c r="F87" s="7" t="str">
        <f t="shared" si="0"/>
        <v>diciembre 2025</v>
      </c>
      <c r="G87" s="7">
        <f t="shared" si="1"/>
        <v>340900</v>
      </c>
      <c r="H87" s="7" t="str">
        <f t="shared" si="3"/>
        <v>Ingreso</v>
      </c>
    </row>
    <row r="88" spans="1:8" ht="22.5" customHeight="1" x14ac:dyDescent="0.25">
      <c r="A88" s="7" t="s">
        <v>202</v>
      </c>
      <c r="B88" s="7"/>
      <c r="C88" s="7">
        <v>26000</v>
      </c>
      <c r="D88" s="8">
        <v>46017</v>
      </c>
      <c r="E88" s="7" t="s">
        <v>31</v>
      </c>
      <c r="F88" s="7" t="str">
        <f t="shared" si="0"/>
        <v>diciembre 2025</v>
      </c>
      <c r="G88" s="7">
        <f t="shared" si="1"/>
        <v>-50000</v>
      </c>
      <c r="H88" s="7" t="str">
        <f t="shared" si="3"/>
        <v>Gasto</v>
      </c>
    </row>
    <row r="89" spans="1:8" ht="22.5" customHeight="1" x14ac:dyDescent="0.25">
      <c r="A89" s="7" t="s">
        <v>204</v>
      </c>
      <c r="B89" s="7"/>
      <c r="C89" s="7">
        <v>25000</v>
      </c>
      <c r="D89" s="8">
        <v>46017</v>
      </c>
      <c r="E89" s="7" t="s">
        <v>31</v>
      </c>
      <c r="F89" s="7" t="str">
        <f t="shared" si="0"/>
        <v>diciembre 2025</v>
      </c>
      <c r="G89" s="7">
        <f t="shared" si="1"/>
        <v>-26000</v>
      </c>
      <c r="H89" s="7" t="str">
        <f t="shared" si="3"/>
        <v>Gasto</v>
      </c>
    </row>
    <row r="90" spans="1:8" ht="22.5" customHeight="1" x14ac:dyDescent="0.25">
      <c r="A90" s="7" t="s">
        <v>205</v>
      </c>
      <c r="B90" s="7"/>
      <c r="C90" s="7">
        <v>25500</v>
      </c>
      <c r="D90" s="8">
        <v>46017</v>
      </c>
      <c r="E90" s="7" t="s">
        <v>180</v>
      </c>
      <c r="F90" s="7" t="str">
        <f t="shared" si="0"/>
        <v>diciembre 2025</v>
      </c>
      <c r="G90" s="7">
        <f t="shared" si="1"/>
        <v>-25000</v>
      </c>
      <c r="H90" s="7" t="str">
        <f t="shared" si="3"/>
        <v>Gasto</v>
      </c>
    </row>
    <row r="91" spans="1:8" ht="22.5" customHeight="1" x14ac:dyDescent="0.25">
      <c r="A91" s="7" t="s">
        <v>206</v>
      </c>
      <c r="B91" s="7"/>
      <c r="C91" s="7">
        <v>100000</v>
      </c>
      <c r="D91" s="8">
        <v>46018</v>
      </c>
      <c r="E91" s="7" t="s">
        <v>72</v>
      </c>
      <c r="F91" s="7" t="str">
        <f t="shared" si="0"/>
        <v>diciembre 2025</v>
      </c>
      <c r="G91" s="7">
        <f t="shared" si="1"/>
        <v>-25500</v>
      </c>
      <c r="H91" s="7" t="str">
        <f t="shared" si="3"/>
        <v>Gasto</v>
      </c>
    </row>
    <row r="92" spans="1:8" ht="22.5" customHeight="1" x14ac:dyDescent="0.25">
      <c r="A92" s="7" t="s">
        <v>207</v>
      </c>
      <c r="B92" s="7"/>
      <c r="C92" s="7">
        <v>20300</v>
      </c>
      <c r="D92" s="8">
        <v>46018</v>
      </c>
      <c r="E92" s="7" t="s">
        <v>180</v>
      </c>
      <c r="F92" s="7" t="str">
        <f t="shared" si="0"/>
        <v>diciembre 2025</v>
      </c>
      <c r="G92" s="7">
        <f t="shared" si="1"/>
        <v>-100000</v>
      </c>
      <c r="H92" s="7" t="str">
        <f t="shared" si="3"/>
        <v>Gasto</v>
      </c>
    </row>
    <row r="93" spans="1:8" ht="22.5" customHeight="1" x14ac:dyDescent="0.25">
      <c r="A93" s="7" t="s">
        <v>208</v>
      </c>
      <c r="B93" s="7"/>
      <c r="C93" s="7">
        <v>36800</v>
      </c>
      <c r="D93" s="8">
        <v>46018</v>
      </c>
      <c r="E93" s="7" t="s">
        <v>180</v>
      </c>
      <c r="F93" s="7" t="str">
        <f t="shared" si="0"/>
        <v>diciembre 2025</v>
      </c>
      <c r="G93" s="7">
        <f t="shared" si="1"/>
        <v>-20300</v>
      </c>
      <c r="H93" s="7" t="str">
        <f t="shared" si="3"/>
        <v>Gasto</v>
      </c>
    </row>
    <row r="94" spans="1:8" ht="22.5" customHeight="1" x14ac:dyDescent="0.25">
      <c r="A94" s="7" t="s">
        <v>210</v>
      </c>
      <c r="B94" s="7"/>
      <c r="C94" s="7">
        <v>28300</v>
      </c>
      <c r="D94" s="8">
        <v>46018</v>
      </c>
      <c r="E94" s="7" t="s">
        <v>180</v>
      </c>
      <c r="F94" s="7" t="str">
        <f t="shared" si="0"/>
        <v>diciembre 2025</v>
      </c>
      <c r="G94" s="7">
        <f t="shared" si="1"/>
        <v>-36800</v>
      </c>
      <c r="H94" s="7" t="str">
        <f t="shared" si="3"/>
        <v>Gasto</v>
      </c>
    </row>
    <row r="95" spans="1:8" ht="22.5" customHeight="1" x14ac:dyDescent="0.25">
      <c r="A95" s="7" t="s">
        <v>33</v>
      </c>
      <c r="B95" s="7"/>
      <c r="C95" s="7">
        <v>8000</v>
      </c>
      <c r="D95" s="8">
        <v>46018</v>
      </c>
      <c r="E95" s="7" t="s">
        <v>31</v>
      </c>
      <c r="F95" s="7" t="str">
        <f t="shared" si="0"/>
        <v>diciembre 2025</v>
      </c>
      <c r="G95" s="7">
        <f t="shared" si="1"/>
        <v>-28300</v>
      </c>
      <c r="H95" s="7" t="str">
        <f t="shared" si="3"/>
        <v>Gasto</v>
      </c>
    </row>
    <row r="96" spans="1:8" ht="22.5" customHeight="1" x14ac:dyDescent="0.25">
      <c r="A96" s="7" t="s">
        <v>76</v>
      </c>
      <c r="B96" s="7"/>
      <c r="C96" s="7">
        <v>23000</v>
      </c>
      <c r="D96" s="8">
        <v>46019</v>
      </c>
      <c r="E96" s="7" t="s">
        <v>76</v>
      </c>
      <c r="F96" s="7" t="str">
        <f t="shared" si="0"/>
        <v>diciembre 2025</v>
      </c>
      <c r="G96" s="7">
        <f t="shared" si="1"/>
        <v>-8000</v>
      </c>
      <c r="H96" s="7" t="str">
        <f t="shared" si="3"/>
        <v>Gasto</v>
      </c>
    </row>
    <row r="97" spans="1:8" ht="22.5" customHeight="1" x14ac:dyDescent="0.25">
      <c r="A97" s="7" t="s">
        <v>211</v>
      </c>
      <c r="B97" s="7"/>
      <c r="C97" s="7">
        <f>7300+6300</f>
        <v>13600</v>
      </c>
      <c r="D97" s="8">
        <v>46019</v>
      </c>
      <c r="E97" s="7" t="s">
        <v>180</v>
      </c>
      <c r="F97" s="7" t="str">
        <f t="shared" si="0"/>
        <v>diciembre 2025</v>
      </c>
      <c r="G97" s="7">
        <f t="shared" si="1"/>
        <v>-23000</v>
      </c>
      <c r="H97" s="7" t="str">
        <f t="shared" si="3"/>
        <v>Gasto</v>
      </c>
    </row>
    <row r="98" spans="1:8" ht="22.5" customHeight="1" x14ac:dyDescent="0.25">
      <c r="A98" s="7" t="s">
        <v>212</v>
      </c>
      <c r="B98" s="7"/>
      <c r="C98" s="7">
        <v>9100</v>
      </c>
      <c r="D98" s="8">
        <v>46020</v>
      </c>
      <c r="E98" s="7" t="s">
        <v>31</v>
      </c>
      <c r="F98" s="7" t="str">
        <f t="shared" si="0"/>
        <v>diciembre 2025</v>
      </c>
      <c r="G98" s="7">
        <f t="shared" si="1"/>
        <v>-13600</v>
      </c>
      <c r="H98" s="7" t="str">
        <f t="shared" si="3"/>
        <v>Gasto</v>
      </c>
    </row>
    <row r="99" spans="1:8" ht="22.5" customHeight="1" x14ac:dyDescent="0.25">
      <c r="A99" s="7" t="s">
        <v>213</v>
      </c>
      <c r="B99" s="7">
        <v>100000</v>
      </c>
      <c r="C99" s="7"/>
      <c r="D99" s="8">
        <v>46020</v>
      </c>
      <c r="E99" s="7" t="s">
        <v>0</v>
      </c>
      <c r="F99" s="7" t="str">
        <f t="shared" si="0"/>
        <v>diciembre 2025</v>
      </c>
      <c r="G99" s="7">
        <f t="shared" si="1"/>
        <v>-9100</v>
      </c>
      <c r="H99" s="7" t="str">
        <f t="shared" si="3"/>
        <v>Gasto</v>
      </c>
    </row>
    <row r="100" spans="1:8" ht="22.5" customHeight="1" x14ac:dyDescent="0.25">
      <c r="A100" s="7" t="s">
        <v>214</v>
      </c>
      <c r="B100" s="7"/>
      <c r="C100" s="7">
        <v>183316</v>
      </c>
      <c r="D100" s="8">
        <v>46020</v>
      </c>
      <c r="E100" s="7" t="s">
        <v>84</v>
      </c>
      <c r="F100" s="7" t="str">
        <f t="shared" si="0"/>
        <v>diciembre 2025</v>
      </c>
      <c r="G100" s="7">
        <f t="shared" si="1"/>
        <v>100000</v>
      </c>
      <c r="H100" s="7" t="str">
        <f t="shared" si="3"/>
        <v>Ingreso</v>
      </c>
    </row>
    <row r="101" spans="1:8" ht="22.5" customHeight="1" x14ac:dyDescent="0.25">
      <c r="A101" s="7" t="s">
        <v>215</v>
      </c>
      <c r="B101" s="7"/>
      <c r="C101" s="7">
        <v>60000</v>
      </c>
      <c r="D101" s="8">
        <v>46020</v>
      </c>
      <c r="E101" s="7" t="s">
        <v>187</v>
      </c>
      <c r="F101" s="7" t="str">
        <f t="shared" si="0"/>
        <v>diciembre 2025</v>
      </c>
      <c r="G101" s="7">
        <f t="shared" si="1"/>
        <v>-183316</v>
      </c>
      <c r="H101" s="7" t="str">
        <f t="shared" si="3"/>
        <v>Gasto</v>
      </c>
    </row>
    <row r="102" spans="1:8" ht="22.5" customHeight="1" x14ac:dyDescent="0.25">
      <c r="A102" s="7" t="s">
        <v>216</v>
      </c>
      <c r="B102" s="7"/>
      <c r="C102" s="7">
        <v>10000</v>
      </c>
      <c r="D102" s="8">
        <v>46020</v>
      </c>
      <c r="E102" s="7" t="s">
        <v>31</v>
      </c>
      <c r="F102" s="7" t="str">
        <f t="shared" si="0"/>
        <v>diciembre 2025</v>
      </c>
      <c r="G102" s="7">
        <f t="shared" si="1"/>
        <v>-60000</v>
      </c>
      <c r="H102" s="7" t="str">
        <f t="shared" si="3"/>
        <v>Gasto</v>
      </c>
    </row>
    <row r="103" spans="1:8" ht="22.5" customHeight="1" x14ac:dyDescent="0.25">
      <c r="A103" s="7" t="s">
        <v>217</v>
      </c>
      <c r="B103" s="7"/>
      <c r="C103" s="7">
        <v>50000</v>
      </c>
      <c r="D103" s="8">
        <v>46022</v>
      </c>
      <c r="E103" s="7" t="s">
        <v>180</v>
      </c>
      <c r="F103" s="7" t="str">
        <f t="shared" si="0"/>
        <v>diciembre 2025</v>
      </c>
      <c r="G103" s="7">
        <f t="shared" si="1"/>
        <v>-10000</v>
      </c>
      <c r="H103" s="7" t="str">
        <f t="shared" si="3"/>
        <v>Gasto</v>
      </c>
    </row>
    <row r="104" spans="1:8" ht="22.5" customHeight="1" x14ac:dyDescent="0.25">
      <c r="A104" s="7" t="s">
        <v>218</v>
      </c>
      <c r="B104" s="7"/>
      <c r="C104" s="7">
        <v>30000</v>
      </c>
      <c r="D104" s="8">
        <v>46022</v>
      </c>
      <c r="E104" s="7" t="s">
        <v>180</v>
      </c>
      <c r="F104" s="7" t="str">
        <f t="shared" si="0"/>
        <v>diciembre 2025</v>
      </c>
      <c r="G104" s="7">
        <f t="shared" si="1"/>
        <v>-50000</v>
      </c>
      <c r="H104" s="7" t="str">
        <f t="shared" si="3"/>
        <v>Gasto</v>
      </c>
    </row>
    <row r="105" spans="1:8" ht="22.5" customHeight="1" x14ac:dyDescent="0.25">
      <c r="A105" s="7" t="s">
        <v>76</v>
      </c>
      <c r="C105" s="7">
        <v>75000</v>
      </c>
      <c r="D105" s="8">
        <v>46022</v>
      </c>
      <c r="E105" s="7" t="s">
        <v>76</v>
      </c>
      <c r="F105" s="7" t="str">
        <f t="shared" si="0"/>
        <v>diciembre 2025</v>
      </c>
      <c r="G105" s="7">
        <f t="shared" si="1"/>
        <v>-30000</v>
      </c>
      <c r="H105" s="7" t="str">
        <f t="shared" si="3"/>
        <v>Gasto</v>
      </c>
    </row>
    <row r="106" spans="1:8" ht="22.5" customHeight="1" x14ac:dyDescent="0.25">
      <c r="A106" s="7" t="s">
        <v>219</v>
      </c>
      <c r="C106" s="7">
        <v>46500</v>
      </c>
      <c r="D106" s="8">
        <v>46024</v>
      </c>
      <c r="E106" s="7" t="s">
        <v>187</v>
      </c>
      <c r="F106" s="7" t="str">
        <f t="shared" si="0"/>
        <v>enero 2026</v>
      </c>
      <c r="G106" s="7">
        <f t="shared" si="1"/>
        <v>-75000</v>
      </c>
      <c r="H106" s="7" t="str">
        <f t="shared" si="3"/>
        <v>Gasto</v>
      </c>
    </row>
    <row r="107" spans="1:8" ht="22.5" customHeight="1" x14ac:dyDescent="0.25">
      <c r="A107" s="7" t="s">
        <v>221</v>
      </c>
      <c r="C107" s="7">
        <v>60000</v>
      </c>
      <c r="D107" s="8">
        <v>46024</v>
      </c>
      <c r="E107" s="7" t="s">
        <v>31</v>
      </c>
      <c r="F107" s="7" t="str">
        <f t="shared" si="0"/>
        <v>enero 2026</v>
      </c>
      <c r="G107" s="7">
        <f t="shared" si="1"/>
        <v>-46500</v>
      </c>
      <c r="H107" s="7" t="str">
        <f t="shared" si="3"/>
        <v>Gasto</v>
      </c>
    </row>
    <row r="108" spans="1:8" ht="22.5" customHeight="1" x14ac:dyDescent="0.25">
      <c r="A108" s="7" t="s">
        <v>166</v>
      </c>
      <c r="C108" s="7">
        <v>13500</v>
      </c>
      <c r="D108" s="8">
        <v>46026</v>
      </c>
      <c r="E108" s="7" t="s">
        <v>58</v>
      </c>
      <c r="F108" s="7" t="str">
        <f t="shared" si="0"/>
        <v>enero 2026</v>
      </c>
      <c r="G108" s="7">
        <f t="shared" si="1"/>
        <v>-60000</v>
      </c>
      <c r="H108" s="7" t="str">
        <f t="shared" si="3"/>
        <v>Gasto</v>
      </c>
    </row>
    <row r="109" spans="1:8" ht="22.5" customHeight="1" x14ac:dyDescent="0.25">
      <c r="A109" s="7" t="s">
        <v>225</v>
      </c>
      <c r="C109" s="7">
        <v>100000</v>
      </c>
      <c r="D109" s="8">
        <v>46026</v>
      </c>
      <c r="E109" s="7" t="s">
        <v>50</v>
      </c>
      <c r="F109" s="7" t="str">
        <f t="shared" si="0"/>
        <v>enero 2026</v>
      </c>
      <c r="G109" s="7">
        <f t="shared" si="1"/>
        <v>-13500</v>
      </c>
      <c r="H109" s="7" t="str">
        <f t="shared" si="3"/>
        <v>Gasto</v>
      </c>
    </row>
    <row r="110" spans="1:8" ht="22.5" customHeight="1" x14ac:dyDescent="0.25">
      <c r="A110" s="7" t="s">
        <v>226</v>
      </c>
      <c r="C110" s="7">
        <v>9400</v>
      </c>
      <c r="D110" s="8">
        <v>46026</v>
      </c>
      <c r="E110" s="7" t="s">
        <v>31</v>
      </c>
      <c r="F110" s="7" t="str">
        <f t="shared" si="0"/>
        <v>enero 2026</v>
      </c>
      <c r="G110" s="7">
        <f t="shared" si="1"/>
        <v>-100000</v>
      </c>
      <c r="H110" s="7" t="str">
        <f t="shared" si="3"/>
        <v>Gasto</v>
      </c>
    </row>
    <row r="111" spans="1:8" ht="22.5" customHeight="1" x14ac:dyDescent="0.25">
      <c r="A111" s="7" t="s">
        <v>228</v>
      </c>
      <c r="C111" s="7">
        <v>30000</v>
      </c>
      <c r="D111" s="8">
        <v>46027</v>
      </c>
      <c r="E111" s="7" t="s">
        <v>72</v>
      </c>
      <c r="F111" s="7" t="str">
        <f t="shared" si="0"/>
        <v>enero 2026</v>
      </c>
      <c r="G111" s="7">
        <f t="shared" si="1"/>
        <v>-9400</v>
      </c>
      <c r="H111" s="7" t="str">
        <f t="shared" si="3"/>
        <v>Gasto</v>
      </c>
    </row>
    <row r="112" spans="1:8" ht="22.5" customHeight="1" x14ac:dyDescent="0.25">
      <c r="A112" s="7" t="s">
        <v>229</v>
      </c>
      <c r="C112" s="7">
        <v>31200</v>
      </c>
      <c r="D112" s="8">
        <v>46027</v>
      </c>
      <c r="E112" s="7" t="s">
        <v>58</v>
      </c>
      <c r="F112" s="7" t="str">
        <f t="shared" si="0"/>
        <v>enero 2026</v>
      </c>
      <c r="G112" s="7">
        <f t="shared" si="1"/>
        <v>-30000</v>
      </c>
      <c r="H112" s="7" t="str">
        <f t="shared" si="3"/>
        <v>Gasto</v>
      </c>
    </row>
    <row r="113" spans="1:8" ht="22.5" customHeight="1" x14ac:dyDescent="0.25">
      <c r="A113" s="7" t="s">
        <v>230</v>
      </c>
      <c r="B113" s="7"/>
      <c r="C113" s="7">
        <v>300000</v>
      </c>
      <c r="D113" s="8">
        <v>46027</v>
      </c>
      <c r="E113" s="7" t="s">
        <v>113</v>
      </c>
      <c r="F113" s="7" t="str">
        <f t="shared" si="0"/>
        <v>enero 2026</v>
      </c>
      <c r="G113" s="7">
        <f t="shared" si="1"/>
        <v>-31200</v>
      </c>
      <c r="H113" s="7" t="str">
        <f t="shared" si="3"/>
        <v>Gasto</v>
      </c>
    </row>
    <row r="114" spans="1:8" ht="22.5" customHeight="1" x14ac:dyDescent="0.25">
      <c r="A114" s="7" t="s">
        <v>33</v>
      </c>
      <c r="B114" s="7"/>
      <c r="C114" s="7">
        <v>290</v>
      </c>
      <c r="D114" s="8">
        <v>46027</v>
      </c>
      <c r="E114" s="7" t="s">
        <v>31</v>
      </c>
      <c r="F114" s="7" t="str">
        <f t="shared" si="0"/>
        <v>enero 2026</v>
      </c>
      <c r="G114" s="7">
        <f t="shared" si="1"/>
        <v>-300000</v>
      </c>
      <c r="H114" s="7" t="str">
        <f t="shared" si="3"/>
        <v>Gasto</v>
      </c>
    </row>
    <row r="115" spans="1:8" ht="22.5" customHeight="1" x14ac:dyDescent="0.25">
      <c r="A115" s="7" t="s">
        <v>232</v>
      </c>
      <c r="B115" s="7">
        <v>102000</v>
      </c>
      <c r="C115" s="7"/>
      <c r="D115" s="8">
        <v>46027</v>
      </c>
      <c r="E115" s="7" t="s">
        <v>120</v>
      </c>
      <c r="F115" s="7" t="str">
        <f t="shared" si="0"/>
        <v>enero 2026</v>
      </c>
      <c r="G115" s="7">
        <f t="shared" si="1"/>
        <v>-290</v>
      </c>
      <c r="H115" s="7" t="str">
        <f t="shared" si="3"/>
        <v>Gasto</v>
      </c>
    </row>
    <row r="116" spans="1:8" ht="22.5" customHeight="1" x14ac:dyDescent="0.25">
      <c r="A116" s="7" t="s">
        <v>233</v>
      </c>
      <c r="B116" s="7"/>
      <c r="C116" s="7">
        <v>19600</v>
      </c>
      <c r="D116" s="8">
        <v>46028</v>
      </c>
      <c r="E116" s="7" t="s">
        <v>31</v>
      </c>
      <c r="F116" s="7" t="str">
        <f t="shared" si="0"/>
        <v>enero 2026</v>
      </c>
      <c r="G116" s="7">
        <f t="shared" si="1"/>
        <v>102000</v>
      </c>
      <c r="H116" s="7" t="str">
        <f t="shared" si="3"/>
        <v>Ingreso</v>
      </c>
    </row>
    <row r="117" spans="1:8" ht="22.5" customHeight="1" x14ac:dyDescent="0.25">
      <c r="A117" s="7" t="s">
        <v>234</v>
      </c>
      <c r="B117" s="7">
        <v>55000</v>
      </c>
      <c r="D117" s="8">
        <v>46028</v>
      </c>
      <c r="E117" s="7" t="s">
        <v>72</v>
      </c>
      <c r="F117" s="7" t="str">
        <f t="shared" si="0"/>
        <v>enero 2026</v>
      </c>
      <c r="G117" s="7">
        <f t="shared" si="1"/>
        <v>-19600</v>
      </c>
      <c r="H117" s="7" t="str">
        <f t="shared" si="3"/>
        <v>Gasto</v>
      </c>
    </row>
    <row r="118" spans="1:8" ht="22.5" customHeight="1" x14ac:dyDescent="0.25">
      <c r="A118" s="7" t="s">
        <v>235</v>
      </c>
      <c r="B118" s="7">
        <v>67747</v>
      </c>
      <c r="D118" s="8">
        <v>46028</v>
      </c>
      <c r="E118" s="7" t="s">
        <v>120</v>
      </c>
      <c r="F118" s="7" t="str">
        <f t="shared" si="0"/>
        <v>enero 2026</v>
      </c>
      <c r="G118" s="7">
        <f t="shared" si="1"/>
        <v>55000</v>
      </c>
      <c r="H118" s="7" t="str">
        <f t="shared" si="3"/>
        <v>Ingreso</v>
      </c>
    </row>
    <row r="119" spans="1:8" ht="22.5" customHeight="1" x14ac:dyDescent="0.25">
      <c r="A119" s="7" t="s">
        <v>236</v>
      </c>
      <c r="C119" s="7">
        <v>300000</v>
      </c>
      <c r="D119" s="8">
        <v>46028</v>
      </c>
      <c r="E119" s="7" t="s">
        <v>50</v>
      </c>
      <c r="F119" s="7" t="str">
        <f t="shared" si="0"/>
        <v>enero 2026</v>
      </c>
      <c r="G119" s="7">
        <f t="shared" si="1"/>
        <v>67747</v>
      </c>
      <c r="H119" s="7" t="str">
        <f t="shared" si="3"/>
        <v>Ingreso</v>
      </c>
    </row>
    <row r="120" spans="1:8" ht="22.5" customHeight="1" x14ac:dyDescent="0.25">
      <c r="A120" s="7" t="s">
        <v>237</v>
      </c>
      <c r="C120" s="7">
        <v>460000</v>
      </c>
      <c r="D120" s="8">
        <v>46028</v>
      </c>
      <c r="E120" s="7" t="s">
        <v>50</v>
      </c>
      <c r="F120" s="7" t="str">
        <f t="shared" si="0"/>
        <v>enero 2026</v>
      </c>
      <c r="G120" s="7">
        <f t="shared" si="1"/>
        <v>-300000</v>
      </c>
      <c r="H120" s="7" t="str">
        <f t="shared" si="3"/>
        <v>Gasto</v>
      </c>
    </row>
    <row r="121" spans="1:8" ht="22.5" customHeight="1" x14ac:dyDescent="0.25">
      <c r="A121" s="7" t="s">
        <v>238</v>
      </c>
      <c r="B121" s="7"/>
      <c r="C121" s="7">
        <v>1997</v>
      </c>
      <c r="D121" s="8">
        <v>46030</v>
      </c>
      <c r="E121" s="7" t="s">
        <v>31</v>
      </c>
      <c r="F121" s="7" t="str">
        <f t="shared" si="0"/>
        <v>enero 2026</v>
      </c>
      <c r="G121" s="7">
        <f t="shared" si="1"/>
        <v>-460000</v>
      </c>
      <c r="H121" s="7" t="str">
        <f t="shared" si="3"/>
        <v>Gasto</v>
      </c>
    </row>
    <row r="122" spans="1:8" ht="22.5" customHeight="1" x14ac:dyDescent="0.25">
      <c r="A122" s="7" t="s">
        <v>239</v>
      </c>
      <c r="B122" s="7"/>
      <c r="C122" s="7">
        <v>9100</v>
      </c>
      <c r="D122" s="8">
        <v>46030</v>
      </c>
      <c r="E122" s="7" t="s">
        <v>31</v>
      </c>
      <c r="F122" s="7" t="str">
        <f t="shared" si="0"/>
        <v>enero 2026</v>
      </c>
      <c r="G122" s="7">
        <f t="shared" si="1"/>
        <v>-1997</v>
      </c>
      <c r="H122" s="7" t="str">
        <f t="shared" si="3"/>
        <v>Gasto</v>
      </c>
    </row>
    <row r="123" spans="1:8" ht="22.5" customHeight="1" x14ac:dyDescent="0.25">
      <c r="A123" s="7" t="s">
        <v>240</v>
      </c>
      <c r="B123" s="7"/>
      <c r="C123" s="7">
        <v>22700</v>
      </c>
      <c r="D123" s="8">
        <v>46030</v>
      </c>
      <c r="E123" s="7" t="s">
        <v>187</v>
      </c>
      <c r="F123" s="7" t="str">
        <f t="shared" si="0"/>
        <v>enero 2026</v>
      </c>
      <c r="G123" s="7">
        <f t="shared" si="1"/>
        <v>-9100</v>
      </c>
      <c r="H123" s="7" t="str">
        <f t="shared" si="3"/>
        <v>Gasto</v>
      </c>
    </row>
    <row r="124" spans="1:8" ht="22.5" customHeight="1" x14ac:dyDescent="0.25">
      <c r="A124" s="7" t="s">
        <v>241</v>
      </c>
      <c r="B124" s="7"/>
      <c r="C124" s="7">
        <v>70000</v>
      </c>
      <c r="D124" s="8">
        <v>46031</v>
      </c>
      <c r="E124" s="7" t="s">
        <v>187</v>
      </c>
      <c r="F124" s="7" t="str">
        <f t="shared" si="0"/>
        <v>enero 2026</v>
      </c>
      <c r="G124" s="7">
        <f t="shared" si="1"/>
        <v>-22700</v>
      </c>
      <c r="H124" s="7" t="str">
        <f t="shared" si="3"/>
        <v>Gasto</v>
      </c>
    </row>
    <row r="125" spans="1:8" ht="22.5" customHeight="1" x14ac:dyDescent="0.25">
      <c r="A125" s="7" t="s">
        <v>33</v>
      </c>
      <c r="B125" s="7"/>
      <c r="C125" s="7">
        <v>1700</v>
      </c>
      <c r="D125" s="8">
        <v>46031</v>
      </c>
      <c r="E125" s="7" t="s">
        <v>31</v>
      </c>
      <c r="F125" s="7" t="str">
        <f t="shared" si="0"/>
        <v>enero 2026</v>
      </c>
      <c r="G125" s="7">
        <f t="shared" si="1"/>
        <v>-70000</v>
      </c>
      <c r="H125" s="7" t="str">
        <f t="shared" si="3"/>
        <v>Gasto</v>
      </c>
    </row>
    <row r="126" spans="1:8" ht="22.5" customHeight="1" x14ac:dyDescent="0.25">
      <c r="A126" s="7" t="s">
        <v>243</v>
      </c>
      <c r="B126" s="7">
        <v>2149700</v>
      </c>
      <c r="C126" s="7"/>
      <c r="D126" s="8">
        <v>46031</v>
      </c>
      <c r="E126" s="7" t="s">
        <v>0</v>
      </c>
      <c r="F126" s="7" t="str">
        <f t="shared" si="0"/>
        <v>enero 2026</v>
      </c>
      <c r="G126" s="7">
        <f t="shared" si="1"/>
        <v>-1700</v>
      </c>
      <c r="H126" s="7" t="str">
        <f t="shared" si="3"/>
        <v>Gasto</v>
      </c>
    </row>
    <row r="127" spans="1:8" ht="22.5" customHeight="1" x14ac:dyDescent="0.25">
      <c r="A127" s="7" t="s">
        <v>244</v>
      </c>
      <c r="B127" s="7"/>
      <c r="C127" s="7">
        <v>26000</v>
      </c>
      <c r="D127" s="8">
        <v>46031</v>
      </c>
      <c r="E127" s="7" t="s">
        <v>0</v>
      </c>
      <c r="F127" s="7" t="str">
        <f t="shared" si="0"/>
        <v>enero 2026</v>
      </c>
      <c r="G127" s="7">
        <f t="shared" si="1"/>
        <v>2149700</v>
      </c>
      <c r="H127" s="7" t="str">
        <f t="shared" si="3"/>
        <v>Ingreso</v>
      </c>
    </row>
    <row r="128" spans="1:8" ht="22.5" customHeight="1" x14ac:dyDescent="0.25">
      <c r="A128" s="7" t="s">
        <v>76</v>
      </c>
      <c r="B128" s="7"/>
      <c r="C128" s="7">
        <v>70000</v>
      </c>
      <c r="D128" s="8">
        <v>46031</v>
      </c>
      <c r="E128" s="7" t="s">
        <v>76</v>
      </c>
      <c r="F128" s="7" t="str">
        <f t="shared" si="0"/>
        <v>enero 2026</v>
      </c>
      <c r="G128" s="7">
        <f t="shared" si="1"/>
        <v>-26000</v>
      </c>
      <c r="H128" s="7" t="str">
        <f t="shared" si="3"/>
        <v>Gasto</v>
      </c>
    </row>
    <row r="129" spans="1:8" ht="22.5" customHeight="1" x14ac:dyDescent="0.25">
      <c r="A129" s="7" t="s">
        <v>246</v>
      </c>
      <c r="B129" s="7"/>
      <c r="C129" s="7">
        <v>6000</v>
      </c>
      <c r="D129" s="8">
        <v>46032</v>
      </c>
      <c r="E129" s="7" t="s">
        <v>31</v>
      </c>
      <c r="F129" s="7" t="str">
        <f t="shared" si="0"/>
        <v>enero 2026</v>
      </c>
      <c r="G129" s="7">
        <f t="shared" si="1"/>
        <v>-70000</v>
      </c>
      <c r="H129" s="7" t="str">
        <f t="shared" si="3"/>
        <v>Gasto</v>
      </c>
    </row>
    <row r="130" spans="1:8" ht="22.5" customHeight="1" x14ac:dyDescent="0.25">
      <c r="A130" s="7" t="s">
        <v>248</v>
      </c>
      <c r="B130" s="7">
        <v>28000</v>
      </c>
      <c r="D130" s="8">
        <v>46034</v>
      </c>
      <c r="E130" s="7" t="s">
        <v>249</v>
      </c>
      <c r="F130" s="7" t="str">
        <f t="shared" si="0"/>
        <v>enero 2026</v>
      </c>
      <c r="G130" s="7">
        <f t="shared" si="1"/>
        <v>-6000</v>
      </c>
      <c r="H130" s="7" t="str">
        <f t="shared" si="3"/>
        <v>Gasto</v>
      </c>
    </row>
    <row r="131" spans="1:8" ht="22.5" customHeight="1" x14ac:dyDescent="0.25">
      <c r="A131" s="7" t="s">
        <v>251</v>
      </c>
      <c r="B131" s="7">
        <v>35240</v>
      </c>
      <c r="C131" s="7"/>
      <c r="D131" s="8">
        <v>46034</v>
      </c>
      <c r="E131" s="7" t="s">
        <v>72</v>
      </c>
      <c r="F131" s="7" t="str">
        <f t="shared" si="0"/>
        <v>enero 2026</v>
      </c>
      <c r="G131" s="7">
        <f t="shared" si="1"/>
        <v>28000</v>
      </c>
      <c r="H131" s="7" t="str">
        <f t="shared" si="3"/>
        <v>Ingreso</v>
      </c>
    </row>
    <row r="132" spans="1:8" ht="22.5" customHeight="1" x14ac:dyDescent="0.25">
      <c r="A132" s="7" t="s">
        <v>252</v>
      </c>
      <c r="B132" s="7"/>
      <c r="C132" s="7">
        <v>20000</v>
      </c>
      <c r="D132" s="8">
        <v>46035</v>
      </c>
      <c r="E132" s="7" t="s">
        <v>31</v>
      </c>
      <c r="F132" s="7" t="str">
        <f t="shared" si="0"/>
        <v>enero 2026</v>
      </c>
      <c r="G132" s="7">
        <f t="shared" si="1"/>
        <v>35240</v>
      </c>
      <c r="H132" s="7" t="str">
        <f t="shared" si="3"/>
        <v>Ingreso</v>
      </c>
    </row>
    <row r="133" spans="1:8" ht="22.5" customHeight="1" x14ac:dyDescent="0.25">
      <c r="A133" s="7" t="s">
        <v>253</v>
      </c>
      <c r="B133" s="7"/>
      <c r="C133" s="7">
        <v>43000</v>
      </c>
      <c r="D133" s="8">
        <v>46035</v>
      </c>
      <c r="E133" s="7" t="s">
        <v>187</v>
      </c>
      <c r="F133" s="7" t="str">
        <f t="shared" si="0"/>
        <v>enero 2026</v>
      </c>
      <c r="G133" s="7">
        <f t="shared" si="1"/>
        <v>-20000</v>
      </c>
      <c r="H133" s="7" t="str">
        <f t="shared" si="3"/>
        <v>Gasto</v>
      </c>
    </row>
    <row r="134" spans="1:8" ht="22.5" customHeight="1" x14ac:dyDescent="0.25">
      <c r="A134" s="7" t="s">
        <v>255</v>
      </c>
      <c r="B134" s="7"/>
      <c r="C134" s="7">
        <v>50000</v>
      </c>
      <c r="D134" s="8">
        <v>46035</v>
      </c>
      <c r="E134" s="7" t="s">
        <v>72</v>
      </c>
      <c r="F134" s="7" t="str">
        <f t="shared" si="0"/>
        <v>enero 2026</v>
      </c>
      <c r="G134" s="7">
        <f t="shared" si="1"/>
        <v>-43000</v>
      </c>
      <c r="H134" s="7" t="str">
        <f t="shared" si="3"/>
        <v>Gasto</v>
      </c>
    </row>
    <row r="135" spans="1:8" ht="22.5" customHeight="1" x14ac:dyDescent="0.25">
      <c r="A135" s="7" t="s">
        <v>256</v>
      </c>
      <c r="B135" s="7"/>
      <c r="C135" s="7">
        <v>23500</v>
      </c>
      <c r="D135" s="8">
        <v>46035</v>
      </c>
      <c r="E135" s="7" t="s">
        <v>31</v>
      </c>
      <c r="F135" s="7" t="str">
        <f t="shared" si="0"/>
        <v>enero 2026</v>
      </c>
      <c r="G135" s="7">
        <f t="shared" si="1"/>
        <v>-50000</v>
      </c>
      <c r="H135" s="7" t="str">
        <f t="shared" si="3"/>
        <v>Gasto</v>
      </c>
    </row>
    <row r="136" spans="1:8" ht="22.5" customHeight="1" x14ac:dyDescent="0.25">
      <c r="A136" s="7" t="s">
        <v>258</v>
      </c>
      <c r="B136" s="7">
        <v>133000</v>
      </c>
      <c r="C136" s="7"/>
      <c r="D136" s="8">
        <v>46038</v>
      </c>
      <c r="E136" s="7" t="s">
        <v>72</v>
      </c>
      <c r="F136" s="7" t="str">
        <f t="shared" si="0"/>
        <v>enero 2026</v>
      </c>
      <c r="G136" s="7">
        <f t="shared" si="1"/>
        <v>-23500</v>
      </c>
      <c r="H136" s="7" t="str">
        <f t="shared" si="3"/>
        <v>Gasto</v>
      </c>
    </row>
    <row r="137" spans="1:8" ht="22.5" customHeight="1" x14ac:dyDescent="0.25">
      <c r="A137" s="7" t="s">
        <v>140</v>
      </c>
      <c r="B137" s="7"/>
      <c r="C137" s="7">
        <v>23000</v>
      </c>
      <c r="D137" s="8">
        <v>46038</v>
      </c>
      <c r="E137" s="7" t="s">
        <v>187</v>
      </c>
      <c r="F137" s="7" t="str">
        <f t="shared" si="0"/>
        <v>enero 2026</v>
      </c>
      <c r="G137" s="7">
        <f t="shared" si="1"/>
        <v>133000</v>
      </c>
      <c r="H137" s="7" t="str">
        <f t="shared" si="3"/>
        <v>Ingreso</v>
      </c>
    </row>
    <row r="138" spans="1:8" ht="22.5" customHeight="1" x14ac:dyDescent="0.25">
      <c r="A138" s="7" t="s">
        <v>260</v>
      </c>
      <c r="B138" s="7"/>
      <c r="C138" s="7">
        <v>28000</v>
      </c>
      <c r="D138" s="8">
        <v>46038</v>
      </c>
      <c r="E138" s="7" t="s">
        <v>31</v>
      </c>
      <c r="F138" s="7" t="str">
        <f t="shared" si="0"/>
        <v>enero 2026</v>
      </c>
      <c r="G138" s="7">
        <f t="shared" si="1"/>
        <v>-23000</v>
      </c>
      <c r="H138" s="7" t="str">
        <f t="shared" si="3"/>
        <v>Gasto</v>
      </c>
    </row>
    <row r="139" spans="1:8" ht="22.5" customHeight="1" x14ac:dyDescent="0.25">
      <c r="A139" s="7" t="s">
        <v>261</v>
      </c>
      <c r="B139" s="7"/>
      <c r="C139" s="7">
        <v>38500</v>
      </c>
      <c r="D139" s="8">
        <v>46039</v>
      </c>
      <c r="E139" s="7" t="s">
        <v>31</v>
      </c>
      <c r="F139" s="7" t="str">
        <f t="shared" si="0"/>
        <v>enero 2026</v>
      </c>
      <c r="G139" s="7">
        <f t="shared" si="1"/>
        <v>-28000</v>
      </c>
      <c r="H139" s="7" t="str">
        <f t="shared" si="3"/>
        <v>Gasto</v>
      </c>
    </row>
    <row r="140" spans="1:8" ht="22.5" customHeight="1" x14ac:dyDescent="0.25">
      <c r="A140" s="7" t="s">
        <v>252</v>
      </c>
      <c r="B140" s="7"/>
      <c r="C140" s="7">
        <v>11500</v>
      </c>
      <c r="D140" s="8">
        <v>46039</v>
      </c>
      <c r="E140" s="7" t="s">
        <v>31</v>
      </c>
      <c r="F140" s="7" t="str">
        <f t="shared" si="0"/>
        <v>enero 2026</v>
      </c>
      <c r="G140" s="7">
        <f t="shared" si="1"/>
        <v>-38500</v>
      </c>
      <c r="H140" s="7" t="str">
        <f t="shared" si="3"/>
        <v>Gasto</v>
      </c>
    </row>
    <row r="141" spans="1:8" ht="22.5" customHeight="1" x14ac:dyDescent="0.25">
      <c r="A141" s="7" t="s">
        <v>262</v>
      </c>
      <c r="B141" s="7"/>
      <c r="C141" s="7">
        <v>22000</v>
      </c>
      <c r="D141" s="8">
        <v>46039</v>
      </c>
      <c r="E141" s="7" t="s">
        <v>31</v>
      </c>
      <c r="F141" s="7" t="str">
        <f t="shared" si="0"/>
        <v>enero 2026</v>
      </c>
      <c r="G141" s="7">
        <f t="shared" si="1"/>
        <v>-11500</v>
      </c>
      <c r="H141" s="7" t="str">
        <f t="shared" si="3"/>
        <v>Gasto</v>
      </c>
    </row>
    <row r="142" spans="1:8" ht="22.5" customHeight="1" x14ac:dyDescent="0.25">
      <c r="A142" s="7" t="s">
        <v>263</v>
      </c>
      <c r="B142" s="7"/>
      <c r="C142" s="7">
        <v>24000</v>
      </c>
      <c r="D142" s="8">
        <v>46043</v>
      </c>
      <c r="E142" s="7" t="s">
        <v>31</v>
      </c>
      <c r="F142" s="7" t="str">
        <f t="shared" si="0"/>
        <v>enero 2026</v>
      </c>
      <c r="G142" s="7">
        <f t="shared" si="1"/>
        <v>-22000</v>
      </c>
      <c r="H142" s="7" t="str">
        <f t="shared" si="3"/>
        <v>Gasto</v>
      </c>
    </row>
    <row r="143" spans="1:8" ht="22.5" customHeight="1" x14ac:dyDescent="0.25">
      <c r="A143" s="7" t="s">
        <v>264</v>
      </c>
      <c r="B143" s="7"/>
      <c r="C143" s="7">
        <v>85000</v>
      </c>
      <c r="D143" s="8">
        <v>46043</v>
      </c>
      <c r="E143" s="7" t="s">
        <v>187</v>
      </c>
      <c r="F143" s="7" t="str">
        <f t="shared" si="0"/>
        <v>enero 2026</v>
      </c>
      <c r="G143" s="7">
        <f t="shared" si="1"/>
        <v>-24000</v>
      </c>
      <c r="H143" s="7" t="str">
        <f t="shared" si="3"/>
        <v>Gasto</v>
      </c>
    </row>
    <row r="144" spans="1:8" ht="22.5" customHeight="1" x14ac:dyDescent="0.25">
      <c r="A144" s="7" t="s">
        <v>211</v>
      </c>
      <c r="B144" s="7"/>
      <c r="C144" s="7">
        <v>5000</v>
      </c>
      <c r="D144" s="8">
        <v>46048</v>
      </c>
      <c r="E144" s="7" t="s">
        <v>31</v>
      </c>
      <c r="F144" s="7" t="str">
        <f t="shared" si="0"/>
        <v>enero 2026</v>
      </c>
      <c r="G144" s="7">
        <f t="shared" si="1"/>
        <v>-85000</v>
      </c>
      <c r="H144" s="7" t="str">
        <f t="shared" si="3"/>
        <v>Gasto</v>
      </c>
    </row>
    <row r="145" spans="1:8" ht="22.5" customHeight="1" x14ac:dyDescent="0.25">
      <c r="A145" s="7" t="s">
        <v>266</v>
      </c>
      <c r="B145" s="7"/>
      <c r="C145" s="7">
        <v>9200</v>
      </c>
      <c r="D145" s="8">
        <v>46048</v>
      </c>
      <c r="E145" s="7" t="s">
        <v>31</v>
      </c>
      <c r="F145" s="7" t="str">
        <f t="shared" si="0"/>
        <v>enero 2026</v>
      </c>
      <c r="G145" s="7">
        <f t="shared" si="1"/>
        <v>-5000</v>
      </c>
      <c r="H145" s="7" t="str">
        <f t="shared" si="3"/>
        <v>Gasto</v>
      </c>
    </row>
    <row r="146" spans="1:8" ht="22.5" customHeight="1" x14ac:dyDescent="0.25">
      <c r="A146" s="7" t="s">
        <v>267</v>
      </c>
      <c r="B146" s="7">
        <v>250000</v>
      </c>
      <c r="C146" s="7"/>
      <c r="D146" s="8">
        <v>46048</v>
      </c>
      <c r="E146" s="7" t="s">
        <v>72</v>
      </c>
      <c r="F146" s="7" t="str">
        <f t="shared" si="0"/>
        <v>enero 2026</v>
      </c>
      <c r="G146" s="7">
        <f t="shared" si="1"/>
        <v>-9200</v>
      </c>
      <c r="H146" s="7" t="str">
        <f t="shared" si="3"/>
        <v>Gasto</v>
      </c>
    </row>
    <row r="147" spans="1:8" ht="22.5" customHeight="1" x14ac:dyDescent="0.25">
      <c r="A147" s="7" t="s">
        <v>269</v>
      </c>
      <c r="B147" s="7"/>
      <c r="C147" s="7">
        <v>30000</v>
      </c>
      <c r="D147" s="8">
        <v>46049</v>
      </c>
      <c r="E147" s="7" t="s">
        <v>31</v>
      </c>
      <c r="F147" s="7" t="str">
        <f t="shared" si="0"/>
        <v>enero 2026</v>
      </c>
      <c r="G147" s="7">
        <f t="shared" si="1"/>
        <v>250000</v>
      </c>
      <c r="H147" s="7" t="str">
        <f t="shared" si="3"/>
        <v>Ingreso</v>
      </c>
    </row>
    <row r="148" spans="1:8" ht="22.5" customHeight="1" x14ac:dyDescent="0.25">
      <c r="A148" s="7" t="s">
        <v>270</v>
      </c>
      <c r="B148" s="7"/>
      <c r="C148" s="7">
        <v>30000</v>
      </c>
      <c r="D148" s="8">
        <v>46049</v>
      </c>
      <c r="E148" s="7" t="s">
        <v>31</v>
      </c>
      <c r="F148" s="7" t="str">
        <f t="shared" si="0"/>
        <v>enero 2026</v>
      </c>
      <c r="G148" s="7">
        <f t="shared" si="1"/>
        <v>-30000</v>
      </c>
      <c r="H148" s="7" t="str">
        <f t="shared" si="3"/>
        <v>Gasto</v>
      </c>
    </row>
    <row r="149" spans="1:8" ht="22.5" customHeight="1" x14ac:dyDescent="0.25">
      <c r="A149" s="7" t="s">
        <v>271</v>
      </c>
      <c r="B149" s="7"/>
      <c r="C149" s="7">
        <v>30000</v>
      </c>
      <c r="D149" s="8">
        <v>46049</v>
      </c>
      <c r="E149" s="7" t="s">
        <v>31</v>
      </c>
      <c r="F149" s="7" t="str">
        <f t="shared" si="0"/>
        <v>enero 2026</v>
      </c>
      <c r="G149" s="7">
        <f t="shared" si="1"/>
        <v>-30000</v>
      </c>
      <c r="H149" s="7" t="str">
        <f t="shared" si="3"/>
        <v>Gasto</v>
      </c>
    </row>
    <row r="150" spans="1:8" ht="22.5" customHeight="1" x14ac:dyDescent="0.25">
      <c r="A150" s="7" t="s">
        <v>272</v>
      </c>
      <c r="B150" s="7"/>
      <c r="C150" s="7">
        <v>27000</v>
      </c>
      <c r="D150" s="8">
        <v>46051</v>
      </c>
      <c r="E150" s="7" t="s">
        <v>31</v>
      </c>
      <c r="F150" s="7" t="str">
        <f t="shared" si="0"/>
        <v>enero 2026</v>
      </c>
      <c r="G150" s="7">
        <f t="shared" si="1"/>
        <v>-30000</v>
      </c>
      <c r="H150" s="7" t="str">
        <f t="shared" si="3"/>
        <v>Gasto</v>
      </c>
    </row>
    <row r="151" spans="1:8" ht="22.5" customHeight="1" x14ac:dyDescent="0.25">
      <c r="A151" s="7" t="s">
        <v>273</v>
      </c>
      <c r="B151" s="7"/>
      <c r="C151" s="7">
        <v>125000</v>
      </c>
      <c r="D151" s="8">
        <v>46054</v>
      </c>
      <c r="E151" s="7" t="s">
        <v>31</v>
      </c>
      <c r="F151" s="7" t="str">
        <f t="shared" si="0"/>
        <v>febrero 2026</v>
      </c>
      <c r="G151" s="7">
        <f t="shared" si="1"/>
        <v>-27000</v>
      </c>
      <c r="H151" s="7" t="str">
        <f t="shared" si="3"/>
        <v>Gasto</v>
      </c>
    </row>
    <row r="152" spans="1:8" ht="22.5" customHeight="1" x14ac:dyDescent="0.25">
      <c r="A152" s="7" t="s">
        <v>274</v>
      </c>
      <c r="B152" s="7">
        <v>96000</v>
      </c>
      <c r="D152" s="8">
        <v>46054</v>
      </c>
      <c r="E152" s="7" t="s">
        <v>275</v>
      </c>
      <c r="F152" s="7" t="str">
        <f t="shared" si="0"/>
        <v>febrero 2026</v>
      </c>
      <c r="G152" s="7">
        <f t="shared" si="1"/>
        <v>-125000</v>
      </c>
      <c r="H152" s="7" t="str">
        <f t="shared" si="3"/>
        <v>Gasto</v>
      </c>
    </row>
    <row r="153" spans="1:8" ht="22.5" customHeight="1" x14ac:dyDescent="0.25">
      <c r="A153" s="7" t="s">
        <v>276</v>
      </c>
      <c r="B153" s="7"/>
      <c r="C153" s="7">
        <v>10000</v>
      </c>
      <c r="D153" s="8">
        <v>46055</v>
      </c>
      <c r="E153" s="7" t="s">
        <v>31</v>
      </c>
      <c r="F153" s="7" t="str">
        <f t="shared" si="0"/>
        <v>febrero 2026</v>
      </c>
      <c r="G153" s="7">
        <f t="shared" si="1"/>
        <v>96000</v>
      </c>
      <c r="H153" s="7" t="str">
        <f t="shared" si="3"/>
        <v>Ingreso</v>
      </c>
    </row>
    <row r="154" spans="1:8" ht="22.5" customHeight="1" x14ac:dyDescent="0.25">
      <c r="A154" s="7" t="s">
        <v>277</v>
      </c>
      <c r="B154" s="7"/>
      <c r="C154" s="7">
        <v>22500</v>
      </c>
      <c r="D154" s="8">
        <v>46055</v>
      </c>
      <c r="E154" s="7" t="s">
        <v>31</v>
      </c>
      <c r="F154" s="7" t="str">
        <f t="shared" si="0"/>
        <v>febrero 2026</v>
      </c>
      <c r="G154" s="7">
        <f t="shared" si="1"/>
        <v>-10000</v>
      </c>
      <c r="H154" s="7" t="str">
        <f t="shared" si="3"/>
        <v>Gasto</v>
      </c>
    </row>
    <row r="155" spans="1:8" ht="22.5" customHeight="1" x14ac:dyDescent="0.25">
      <c r="A155" s="7" t="s">
        <v>278</v>
      </c>
      <c r="B155" s="7"/>
      <c r="C155" s="7">
        <v>2000</v>
      </c>
      <c r="D155" s="8">
        <v>46055</v>
      </c>
      <c r="E155" s="7" t="s">
        <v>31</v>
      </c>
      <c r="F155" s="7" t="str">
        <f t="shared" si="0"/>
        <v>febrero 2026</v>
      </c>
      <c r="G155" s="7">
        <f t="shared" si="1"/>
        <v>-22500</v>
      </c>
      <c r="H155" s="7" t="str">
        <f t="shared" si="3"/>
        <v>Gasto</v>
      </c>
    </row>
    <row r="156" spans="1:8" ht="22.5" customHeight="1" x14ac:dyDescent="0.25">
      <c r="A156" s="7" t="s">
        <v>279</v>
      </c>
      <c r="B156" s="7"/>
      <c r="C156" s="7">
        <v>6500</v>
      </c>
      <c r="D156" s="8">
        <v>46056</v>
      </c>
      <c r="E156" s="7" t="s">
        <v>31</v>
      </c>
      <c r="F156" s="7" t="str">
        <f t="shared" si="0"/>
        <v>febrero 2026</v>
      </c>
      <c r="G156" s="7">
        <f t="shared" si="1"/>
        <v>-2000</v>
      </c>
      <c r="H156" s="7" t="str">
        <f t="shared" si="3"/>
        <v>Gasto</v>
      </c>
    </row>
    <row r="157" spans="1:8" ht="22.5" customHeight="1" x14ac:dyDescent="0.25">
      <c r="A157" s="7" t="s">
        <v>280</v>
      </c>
      <c r="B157" s="7"/>
      <c r="C157" s="7">
        <v>4800</v>
      </c>
      <c r="D157" s="8">
        <v>46056</v>
      </c>
      <c r="E157" s="7" t="s">
        <v>31</v>
      </c>
      <c r="F157" s="7" t="str">
        <f t="shared" si="0"/>
        <v>febrero 2026</v>
      </c>
      <c r="G157" s="7">
        <f t="shared" si="1"/>
        <v>-6500</v>
      </c>
      <c r="H157" s="7" t="str">
        <f t="shared" si="3"/>
        <v>Gasto</v>
      </c>
    </row>
    <row r="158" spans="1:8" ht="22.5" customHeight="1" x14ac:dyDescent="0.25">
      <c r="A158" s="7" t="s">
        <v>166</v>
      </c>
      <c r="B158" s="7"/>
      <c r="C158" s="7">
        <v>13588</v>
      </c>
      <c r="D158" s="8">
        <v>46056</v>
      </c>
      <c r="E158" s="7" t="s">
        <v>58</v>
      </c>
      <c r="F158" s="7" t="str">
        <f t="shared" si="0"/>
        <v>febrero 2026</v>
      </c>
      <c r="G158" s="7">
        <f t="shared" si="1"/>
        <v>-4800</v>
      </c>
      <c r="H158" s="7" t="str">
        <f t="shared" si="3"/>
        <v>Gasto</v>
      </c>
    </row>
    <row r="159" spans="1:8" ht="22.5" customHeight="1" x14ac:dyDescent="0.25">
      <c r="A159" s="7" t="s">
        <v>281</v>
      </c>
      <c r="B159" s="7"/>
      <c r="C159" s="7">
        <v>7700</v>
      </c>
      <c r="D159" s="8">
        <v>46057</v>
      </c>
      <c r="E159" s="7" t="s">
        <v>31</v>
      </c>
      <c r="F159" s="7" t="str">
        <f t="shared" si="0"/>
        <v>febrero 2026</v>
      </c>
      <c r="G159" s="7">
        <f t="shared" si="1"/>
        <v>-13588</v>
      </c>
      <c r="H159" s="7" t="str">
        <f t="shared" si="3"/>
        <v>Gasto</v>
      </c>
    </row>
    <row r="160" spans="1:8" ht="22.5" customHeight="1" x14ac:dyDescent="0.25">
      <c r="A160" s="7" t="s">
        <v>282</v>
      </c>
      <c r="B160" s="7"/>
      <c r="C160" s="7">
        <v>4355</v>
      </c>
      <c r="D160" s="8">
        <v>46057</v>
      </c>
      <c r="E160" s="7" t="s">
        <v>31</v>
      </c>
      <c r="F160" s="7" t="str">
        <f t="shared" si="0"/>
        <v>febrero 2026</v>
      </c>
      <c r="G160" s="7">
        <f t="shared" si="1"/>
        <v>-7700</v>
      </c>
      <c r="H160" s="7" t="str">
        <f t="shared" si="3"/>
        <v>Gasto</v>
      </c>
    </row>
    <row r="161" spans="1:8" ht="22.5" customHeight="1" x14ac:dyDescent="0.25">
      <c r="A161" s="7" t="s">
        <v>283</v>
      </c>
      <c r="B161" s="7"/>
      <c r="C161" s="7">
        <v>2700</v>
      </c>
      <c r="D161" s="8">
        <v>46058</v>
      </c>
      <c r="E161" s="7" t="s">
        <v>31</v>
      </c>
      <c r="F161" s="7" t="str">
        <f t="shared" si="0"/>
        <v>febrero 2026</v>
      </c>
      <c r="G161" s="7">
        <f t="shared" si="1"/>
        <v>-4355</v>
      </c>
      <c r="H161" s="7" t="str">
        <f t="shared" si="3"/>
        <v>Gasto</v>
      </c>
    </row>
    <row r="162" spans="1:8" ht="22.5" customHeight="1" x14ac:dyDescent="0.25">
      <c r="A162" s="7" t="s">
        <v>118</v>
      </c>
      <c r="B162" s="7">
        <v>133561</v>
      </c>
      <c r="C162" s="7"/>
      <c r="D162" s="8">
        <v>46059</v>
      </c>
      <c r="E162" s="7" t="s">
        <v>120</v>
      </c>
      <c r="F162" s="7" t="str">
        <f t="shared" si="0"/>
        <v>febrero 2026</v>
      </c>
      <c r="G162" s="7">
        <f t="shared" si="1"/>
        <v>-2700</v>
      </c>
      <c r="H162" s="7" t="str">
        <f t="shared" si="3"/>
        <v>Gasto</v>
      </c>
    </row>
    <row r="163" spans="1:8" ht="22.5" customHeight="1" x14ac:dyDescent="0.25">
      <c r="A163" s="7" t="s">
        <v>284</v>
      </c>
      <c r="B163" s="7"/>
      <c r="C163" s="7">
        <v>222104</v>
      </c>
      <c r="D163" s="8">
        <v>46059</v>
      </c>
      <c r="E163" s="7" t="s">
        <v>84</v>
      </c>
      <c r="F163" s="7" t="str">
        <f t="shared" si="0"/>
        <v>febrero 2026</v>
      </c>
      <c r="G163" s="7">
        <f t="shared" si="1"/>
        <v>133561</v>
      </c>
      <c r="H163" s="7" t="str">
        <f t="shared" si="3"/>
        <v>Ingreso</v>
      </c>
    </row>
    <row r="164" spans="1:8" ht="22.5" customHeight="1" x14ac:dyDescent="0.25">
      <c r="A164" s="7" t="s">
        <v>285</v>
      </c>
      <c r="B164" s="7"/>
      <c r="C164" s="7">
        <v>130000</v>
      </c>
      <c r="D164" s="8">
        <v>46059</v>
      </c>
      <c r="E164" s="7" t="s">
        <v>180</v>
      </c>
      <c r="F164" s="7" t="str">
        <f t="shared" si="0"/>
        <v>febrero 2026</v>
      </c>
      <c r="G164" s="7">
        <f t="shared" si="1"/>
        <v>-222104</v>
      </c>
      <c r="H164" s="7" t="str">
        <f t="shared" si="3"/>
        <v>Gasto</v>
      </c>
    </row>
    <row r="165" spans="1:8" ht="22.5" customHeight="1" x14ac:dyDescent="0.25">
      <c r="A165" s="7" t="s">
        <v>286</v>
      </c>
      <c r="B165" s="7"/>
      <c r="C165" s="7">
        <v>267000</v>
      </c>
      <c r="D165" s="8">
        <v>46059</v>
      </c>
      <c r="E165" s="7" t="s">
        <v>180</v>
      </c>
      <c r="F165" s="7" t="str">
        <f t="shared" si="0"/>
        <v>febrero 2026</v>
      </c>
      <c r="G165" s="7">
        <f t="shared" si="1"/>
        <v>-130000</v>
      </c>
      <c r="H165" s="7" t="str">
        <f t="shared" si="3"/>
        <v>Gasto</v>
      </c>
    </row>
    <row r="166" spans="1:8" ht="22.5" customHeight="1" x14ac:dyDescent="0.25">
      <c r="A166" s="7" t="s">
        <v>287</v>
      </c>
      <c r="B166" s="7"/>
      <c r="C166" s="7">
        <v>11000</v>
      </c>
      <c r="D166" s="8">
        <v>46059</v>
      </c>
      <c r="E166" s="7" t="s">
        <v>180</v>
      </c>
      <c r="F166" s="7" t="str">
        <f t="shared" si="0"/>
        <v>febrero 2026</v>
      </c>
      <c r="G166" s="7">
        <f t="shared" si="1"/>
        <v>-267000</v>
      </c>
      <c r="H166" s="7" t="str">
        <f t="shared" si="3"/>
        <v>Gasto</v>
      </c>
    </row>
    <row r="167" spans="1:8" ht="22.5" customHeight="1" x14ac:dyDescent="0.25">
      <c r="A167" s="7" t="s">
        <v>288</v>
      </c>
      <c r="B167" s="7"/>
      <c r="C167" s="7">
        <v>122000</v>
      </c>
      <c r="D167" s="8">
        <v>46059</v>
      </c>
      <c r="E167" s="7" t="s">
        <v>58</v>
      </c>
      <c r="F167" s="7" t="str">
        <f t="shared" si="0"/>
        <v>febrero 2026</v>
      </c>
      <c r="G167" s="7">
        <f t="shared" si="1"/>
        <v>-11000</v>
      </c>
      <c r="H167" s="7" t="str">
        <f t="shared" si="3"/>
        <v>Gasto</v>
      </c>
    </row>
    <row r="168" spans="1:8" ht="22.5" customHeight="1" x14ac:dyDescent="0.25">
      <c r="A168" s="7" t="s">
        <v>289</v>
      </c>
      <c r="B168" s="7"/>
      <c r="C168" s="7">
        <v>25400</v>
      </c>
      <c r="D168" s="8">
        <v>46059</v>
      </c>
      <c r="E168" s="7" t="s">
        <v>58</v>
      </c>
      <c r="F168" s="7" t="str">
        <f t="shared" si="0"/>
        <v>febrero 2026</v>
      </c>
      <c r="G168" s="7">
        <f t="shared" si="1"/>
        <v>-122000</v>
      </c>
      <c r="H168" s="7" t="str">
        <f t="shared" si="3"/>
        <v>Gasto</v>
      </c>
    </row>
    <row r="169" spans="1:8" ht="22.5" customHeight="1" x14ac:dyDescent="0.25">
      <c r="A169" s="7" t="s">
        <v>290</v>
      </c>
      <c r="C169" s="7">
        <v>275000</v>
      </c>
      <c r="D169" s="8">
        <v>46059</v>
      </c>
      <c r="E169" s="7" t="s">
        <v>31</v>
      </c>
      <c r="F169" s="7" t="str">
        <f t="shared" si="0"/>
        <v>febrero 2026</v>
      </c>
      <c r="G169" s="7">
        <f t="shared" si="1"/>
        <v>-25400</v>
      </c>
      <c r="H169" s="7" t="str">
        <f t="shared" si="3"/>
        <v>Gasto</v>
      </c>
    </row>
    <row r="170" spans="1:8" ht="22.5" customHeight="1" x14ac:dyDescent="0.25">
      <c r="A170" s="7" t="s">
        <v>291</v>
      </c>
      <c r="B170" s="7">
        <v>59999</v>
      </c>
      <c r="C170" s="7"/>
      <c r="D170" s="8">
        <v>46059</v>
      </c>
      <c r="E170" s="7" t="s">
        <v>275</v>
      </c>
      <c r="F170" s="7" t="str">
        <f t="shared" si="0"/>
        <v>febrero 2026</v>
      </c>
      <c r="G170" s="7">
        <f t="shared" si="1"/>
        <v>-275000</v>
      </c>
      <c r="H170" s="7" t="str">
        <f t="shared" si="3"/>
        <v>Gasto</v>
      </c>
    </row>
    <row r="171" spans="1:8" ht="22.5" customHeight="1" x14ac:dyDescent="0.25">
      <c r="A171" s="7" t="s">
        <v>292</v>
      </c>
      <c r="B171" s="7"/>
      <c r="C171" s="7">
        <v>100000</v>
      </c>
      <c r="D171" s="8">
        <v>46059</v>
      </c>
      <c r="E171" s="7" t="s">
        <v>180</v>
      </c>
      <c r="F171" s="7" t="str">
        <f t="shared" si="0"/>
        <v>febrero 2026</v>
      </c>
      <c r="G171" s="7">
        <f t="shared" si="1"/>
        <v>59999</v>
      </c>
      <c r="H171" s="7" t="str">
        <f t="shared" si="3"/>
        <v>Ingreso</v>
      </c>
    </row>
    <row r="172" spans="1:8" ht="22.5" customHeight="1" x14ac:dyDescent="0.25">
      <c r="A172" s="7" t="s">
        <v>293</v>
      </c>
      <c r="B172" s="7"/>
      <c r="C172" s="7">
        <v>28000</v>
      </c>
      <c r="D172" s="8">
        <v>46059</v>
      </c>
      <c r="E172" s="7" t="s">
        <v>180</v>
      </c>
      <c r="F172" s="7" t="str">
        <f t="shared" si="0"/>
        <v>febrero 2026</v>
      </c>
      <c r="G172" s="7">
        <f t="shared" si="1"/>
        <v>-100000</v>
      </c>
      <c r="H172" s="7" t="str">
        <f t="shared" si="3"/>
        <v>Gasto</v>
      </c>
    </row>
    <row r="173" spans="1:8" ht="22.5" customHeight="1" x14ac:dyDescent="0.25">
      <c r="A173" s="7" t="s">
        <v>294</v>
      </c>
      <c r="B173" s="7">
        <v>2177000</v>
      </c>
      <c r="C173" s="7"/>
      <c r="D173" s="8">
        <v>46059</v>
      </c>
      <c r="E173" s="7" t="s">
        <v>0</v>
      </c>
      <c r="F173" s="7" t="str">
        <f t="shared" si="0"/>
        <v>febrero 2026</v>
      </c>
      <c r="G173" s="7">
        <f t="shared" si="1"/>
        <v>-28000</v>
      </c>
      <c r="H173" s="7" t="str">
        <f t="shared" si="3"/>
        <v>Gasto</v>
      </c>
    </row>
    <row r="174" spans="1:8" ht="22.5" customHeight="1" x14ac:dyDescent="0.25">
      <c r="A174" s="7" t="s">
        <v>295</v>
      </c>
      <c r="B174" s="7"/>
      <c r="C174" s="7">
        <v>400000</v>
      </c>
      <c r="D174" s="8">
        <v>46059</v>
      </c>
      <c r="E174" s="7" t="s">
        <v>113</v>
      </c>
      <c r="F174" s="7" t="str">
        <f t="shared" si="0"/>
        <v>febrero 2026</v>
      </c>
      <c r="G174" s="7">
        <f t="shared" si="1"/>
        <v>2177000</v>
      </c>
      <c r="H174" s="7" t="str">
        <f t="shared" si="3"/>
        <v>Ingreso</v>
      </c>
    </row>
    <row r="175" spans="1:8" ht="22.5" customHeight="1" x14ac:dyDescent="0.25">
      <c r="A175" s="7" t="s">
        <v>296</v>
      </c>
      <c r="B175" s="7"/>
      <c r="C175" s="7">
        <v>100000</v>
      </c>
      <c r="D175" s="8">
        <v>46059</v>
      </c>
      <c r="E175" s="7" t="s">
        <v>50</v>
      </c>
      <c r="F175" s="7" t="str">
        <f t="shared" si="0"/>
        <v>febrero 2026</v>
      </c>
      <c r="G175" s="7">
        <f t="shared" si="1"/>
        <v>-400000</v>
      </c>
      <c r="H175" s="7" t="str">
        <f t="shared" si="3"/>
        <v>Gasto</v>
      </c>
    </row>
    <row r="176" spans="1:8" ht="22.5" customHeight="1" x14ac:dyDescent="0.25">
      <c r="A176" s="7" t="s">
        <v>143</v>
      </c>
      <c r="B176" s="7">
        <v>50000</v>
      </c>
      <c r="C176" s="7"/>
      <c r="D176" s="8">
        <v>46061</v>
      </c>
      <c r="E176" s="7" t="s">
        <v>72</v>
      </c>
      <c r="F176" s="7" t="str">
        <f t="shared" si="0"/>
        <v>febrero 2026</v>
      </c>
      <c r="G176" s="7">
        <f t="shared" si="1"/>
        <v>-100000</v>
      </c>
      <c r="H176" s="7" t="str">
        <f t="shared" si="3"/>
        <v>Gasto</v>
      </c>
    </row>
    <row r="177" spans="1:9" ht="22.5" customHeight="1" x14ac:dyDescent="0.25">
      <c r="A177" s="7" t="s">
        <v>297</v>
      </c>
      <c r="B177" s="7">
        <v>43000</v>
      </c>
      <c r="C177" s="7"/>
      <c r="D177" s="8">
        <v>46062</v>
      </c>
      <c r="E177" s="7" t="s">
        <v>120</v>
      </c>
      <c r="F177" s="7" t="str">
        <f t="shared" si="0"/>
        <v>febrero 2026</v>
      </c>
      <c r="G177" s="7">
        <f t="shared" si="1"/>
        <v>50000</v>
      </c>
      <c r="H177" s="7" t="str">
        <f t="shared" si="3"/>
        <v>Ingreso</v>
      </c>
    </row>
    <row r="178" spans="1:9" ht="22.5" customHeight="1" x14ac:dyDescent="0.25">
      <c r="A178" s="7" t="s">
        <v>298</v>
      </c>
      <c r="B178" s="7">
        <v>55000</v>
      </c>
      <c r="C178" s="7"/>
      <c r="D178" s="8">
        <v>46064</v>
      </c>
      <c r="E178" s="7" t="s">
        <v>72</v>
      </c>
      <c r="F178" s="7" t="str">
        <f t="shared" si="0"/>
        <v>febrero 2026</v>
      </c>
      <c r="G178" s="7">
        <f t="shared" si="1"/>
        <v>43000</v>
      </c>
      <c r="H178" s="7" t="str">
        <f t="shared" si="3"/>
        <v>Ingreso</v>
      </c>
    </row>
    <row r="179" spans="1:9" ht="22.5" customHeight="1" x14ac:dyDescent="0.25">
      <c r="A179" s="7" t="s">
        <v>299</v>
      </c>
      <c r="B179" s="7"/>
      <c r="C179" s="7">
        <v>5000</v>
      </c>
      <c r="D179" s="8">
        <v>46064</v>
      </c>
      <c r="E179" s="7" t="s">
        <v>31</v>
      </c>
      <c r="F179" s="7" t="str">
        <f t="shared" si="0"/>
        <v>febrero 2026</v>
      </c>
      <c r="G179" s="7">
        <f t="shared" si="1"/>
        <v>55000</v>
      </c>
      <c r="H179" s="7" t="str">
        <f t="shared" si="3"/>
        <v>Ingreso</v>
      </c>
    </row>
    <row r="180" spans="1:9" ht="22.5" customHeight="1" x14ac:dyDescent="0.25">
      <c r="A180" s="7" t="s">
        <v>300</v>
      </c>
      <c r="B180" s="7"/>
      <c r="C180" s="7">
        <v>2000</v>
      </c>
      <c r="D180" s="8">
        <v>46065</v>
      </c>
      <c r="E180" s="7" t="s">
        <v>31</v>
      </c>
      <c r="F180" s="7" t="str">
        <f t="shared" si="0"/>
        <v>febrero 2026</v>
      </c>
      <c r="G180" s="7">
        <f t="shared" si="1"/>
        <v>-5000</v>
      </c>
      <c r="H180" s="7" t="str">
        <f t="shared" si="3"/>
        <v>Gasto</v>
      </c>
    </row>
    <row r="181" spans="1:9" ht="22.5" customHeight="1" x14ac:dyDescent="0.25">
      <c r="A181" s="7" t="s">
        <v>301</v>
      </c>
      <c r="B181" s="7"/>
      <c r="C181" s="7">
        <v>6500</v>
      </c>
      <c r="D181" s="8">
        <v>46065</v>
      </c>
      <c r="E181" s="7" t="s">
        <v>31</v>
      </c>
      <c r="F181" s="7" t="str">
        <f t="shared" si="0"/>
        <v>febrero 2026</v>
      </c>
      <c r="G181" s="7">
        <f t="shared" si="1"/>
        <v>-2000</v>
      </c>
      <c r="H181" s="7" t="str">
        <f t="shared" si="3"/>
        <v>Gasto</v>
      </c>
    </row>
    <row r="182" spans="1:9" ht="22.5" customHeight="1" x14ac:dyDescent="0.25">
      <c r="A182" s="7" t="s">
        <v>302</v>
      </c>
      <c r="B182" s="7"/>
      <c r="C182" s="7">
        <v>14000</v>
      </c>
      <c r="D182" s="8">
        <v>46065</v>
      </c>
      <c r="E182" s="7" t="s">
        <v>31</v>
      </c>
      <c r="F182" s="7" t="str">
        <f t="shared" si="0"/>
        <v>febrero 2026</v>
      </c>
      <c r="G182" s="7">
        <f t="shared" si="1"/>
        <v>-6500</v>
      </c>
      <c r="H182" s="7" t="str">
        <f t="shared" si="3"/>
        <v>Gasto</v>
      </c>
    </row>
    <row r="183" spans="1:9" ht="22.5" customHeight="1" x14ac:dyDescent="0.25">
      <c r="A183" s="7" t="s">
        <v>303</v>
      </c>
      <c r="B183" s="7"/>
      <c r="C183" s="7">
        <v>70000</v>
      </c>
      <c r="D183" s="8">
        <v>46066</v>
      </c>
      <c r="E183" s="7" t="s">
        <v>76</v>
      </c>
      <c r="F183" s="7" t="str">
        <f t="shared" si="0"/>
        <v>febrero 2026</v>
      </c>
      <c r="G183" s="7">
        <f t="shared" si="1"/>
        <v>-14000</v>
      </c>
      <c r="H183" s="7" t="str">
        <f t="shared" si="3"/>
        <v>Gasto</v>
      </c>
    </row>
    <row r="184" spans="1:9" ht="22.5" customHeight="1" x14ac:dyDescent="0.25">
      <c r="A184" s="7" t="s">
        <v>140</v>
      </c>
      <c r="B184" s="7"/>
      <c r="C184" s="7">
        <v>23000</v>
      </c>
      <c r="D184" s="8">
        <v>46066</v>
      </c>
      <c r="E184" s="7" t="s">
        <v>187</v>
      </c>
      <c r="F184" s="7" t="str">
        <f t="shared" si="0"/>
        <v>febrero 2026</v>
      </c>
      <c r="G184" s="7">
        <f t="shared" si="1"/>
        <v>-70000</v>
      </c>
      <c r="H184" s="7" t="str">
        <f t="shared" si="3"/>
        <v>Gasto</v>
      </c>
      <c r="I184" s="5">
        <f>137500*0.5</f>
        <v>68750</v>
      </c>
    </row>
    <row r="185" spans="1:9" ht="22.5" customHeight="1" x14ac:dyDescent="0.25">
      <c r="A185" s="7" t="s">
        <v>304</v>
      </c>
      <c r="B185" s="7"/>
      <c r="C185" s="7">
        <v>51500</v>
      </c>
      <c r="D185" s="8">
        <v>46066</v>
      </c>
      <c r="E185" s="7" t="s">
        <v>180</v>
      </c>
      <c r="F185" s="7" t="str">
        <f t="shared" si="0"/>
        <v>febrero 2026</v>
      </c>
      <c r="G185" s="7">
        <f t="shared" si="1"/>
        <v>-23000</v>
      </c>
      <c r="H185" s="7" t="str">
        <f t="shared" si="3"/>
        <v>Gasto</v>
      </c>
      <c r="I185" s="5">
        <f>127200*0.5</f>
        <v>63600</v>
      </c>
    </row>
    <row r="186" spans="1:9" ht="22.5" customHeight="1" x14ac:dyDescent="0.25">
      <c r="A186" s="7" t="s">
        <v>305</v>
      </c>
      <c r="B186" s="7">
        <v>2000</v>
      </c>
      <c r="C186" s="7"/>
      <c r="D186" s="8">
        <v>46067</v>
      </c>
      <c r="E186" s="7" t="s">
        <v>275</v>
      </c>
      <c r="F186" s="7" t="str">
        <f t="shared" si="0"/>
        <v>febrero 2026</v>
      </c>
      <c r="G186" s="7">
        <f t="shared" si="1"/>
        <v>-51500</v>
      </c>
      <c r="H186" s="7" t="str">
        <f t="shared" si="3"/>
        <v>Gasto</v>
      </c>
      <c r="I186" s="5">
        <v>150000</v>
      </c>
    </row>
    <row r="187" spans="1:9" ht="22.5" customHeight="1" x14ac:dyDescent="0.25">
      <c r="A187" s="7" t="s">
        <v>306</v>
      </c>
      <c r="B187" s="7">
        <v>117000</v>
      </c>
      <c r="C187" s="7"/>
      <c r="D187" s="8">
        <v>46067</v>
      </c>
      <c r="E187" s="7" t="s">
        <v>275</v>
      </c>
      <c r="F187" s="7" t="str">
        <f t="shared" si="0"/>
        <v>febrero 2026</v>
      </c>
      <c r="G187" s="7">
        <f t="shared" si="1"/>
        <v>2000</v>
      </c>
      <c r="H187" s="7" t="str">
        <f t="shared" si="3"/>
        <v>Ingreso</v>
      </c>
      <c r="I187" s="5">
        <f>5300*100*0.25</f>
        <v>132500</v>
      </c>
    </row>
    <row r="188" spans="1:9" ht="22.5" customHeight="1" x14ac:dyDescent="0.25">
      <c r="A188" s="7" t="s">
        <v>307</v>
      </c>
      <c r="B188" s="7"/>
      <c r="C188" s="7">
        <v>110000</v>
      </c>
      <c r="D188" s="8">
        <v>46067</v>
      </c>
      <c r="E188" s="7" t="s">
        <v>180</v>
      </c>
      <c r="F188" s="7" t="str">
        <f t="shared" si="0"/>
        <v>febrero 2026</v>
      </c>
      <c r="G188" s="7">
        <f t="shared" si="1"/>
        <v>117000</v>
      </c>
      <c r="H188" s="7" t="str">
        <f t="shared" si="3"/>
        <v>Ingreso</v>
      </c>
      <c r="I188" s="5">
        <f>275000*0.5</f>
        <v>137500</v>
      </c>
    </row>
    <row r="189" spans="1:9" ht="22.5" customHeight="1" x14ac:dyDescent="0.25">
      <c r="A189" s="7" t="s">
        <v>308</v>
      </c>
      <c r="B189" s="7">
        <v>200000</v>
      </c>
      <c r="C189" s="7"/>
      <c r="D189" s="8">
        <v>46067</v>
      </c>
      <c r="E189" s="7" t="s">
        <v>50</v>
      </c>
      <c r="F189" s="7" t="str">
        <f t="shared" si="0"/>
        <v>febrero 2026</v>
      </c>
      <c r="G189" s="7">
        <f t="shared" si="1"/>
        <v>-110000</v>
      </c>
      <c r="H189" s="7" t="str">
        <f t="shared" si="3"/>
        <v>Gasto</v>
      </c>
      <c r="I189" s="5">
        <f>80*5300*0.25</f>
        <v>106000</v>
      </c>
    </row>
    <row r="190" spans="1:9" ht="22.5" customHeight="1" x14ac:dyDescent="0.25">
      <c r="A190" s="7" t="s">
        <v>309</v>
      </c>
      <c r="B190" s="7">
        <v>511350</v>
      </c>
      <c r="C190" s="7"/>
      <c r="D190" s="8">
        <v>46067</v>
      </c>
      <c r="E190" s="7" t="s">
        <v>50</v>
      </c>
      <c r="F190" s="7" t="str">
        <f t="shared" si="0"/>
        <v>febrero 2026</v>
      </c>
      <c r="G190" s="7">
        <f t="shared" si="1"/>
        <v>200000</v>
      </c>
      <c r="H190" s="7" t="str">
        <f t="shared" si="3"/>
        <v>Ingreso</v>
      </c>
      <c r="I190" s="5">
        <f>20*5300*0.5</f>
        <v>53000</v>
      </c>
    </row>
    <row r="191" spans="1:9" ht="22.5" customHeight="1" x14ac:dyDescent="0.25">
      <c r="A191" s="7" t="s">
        <v>310</v>
      </c>
      <c r="C191" s="7">
        <v>180000</v>
      </c>
      <c r="D191" s="8">
        <v>46067</v>
      </c>
      <c r="E191" s="7" t="s">
        <v>50</v>
      </c>
      <c r="F191" s="7" t="str">
        <f t="shared" si="0"/>
        <v>febrero 2026</v>
      </c>
      <c r="G191" s="7">
        <f t="shared" si="1"/>
        <v>511350</v>
      </c>
      <c r="H191" s="7" t="str">
        <f t="shared" si="3"/>
        <v>Ingreso</v>
      </c>
      <c r="I191" s="5">
        <f>SUM(I184:I190)</f>
        <v>711350</v>
      </c>
    </row>
    <row r="192" spans="1:9" ht="22.5" customHeight="1" x14ac:dyDescent="0.25">
      <c r="A192" s="7" t="s">
        <v>311</v>
      </c>
      <c r="B192" s="7"/>
      <c r="C192" s="7">
        <v>40000</v>
      </c>
      <c r="D192" s="8">
        <v>46067</v>
      </c>
      <c r="E192" s="7" t="s">
        <v>180</v>
      </c>
      <c r="F192" s="7" t="str">
        <f t="shared" si="0"/>
        <v>febrero 2026</v>
      </c>
      <c r="G192" s="7">
        <f t="shared" si="1"/>
        <v>-180000</v>
      </c>
      <c r="H192" s="7" t="str">
        <f t="shared" si="3"/>
        <v>Gasto</v>
      </c>
    </row>
    <row r="193" spans="1:9" ht="22.5" customHeight="1" x14ac:dyDescent="0.25">
      <c r="A193" s="7" t="s">
        <v>312</v>
      </c>
      <c r="B193" s="7"/>
      <c r="C193" s="7">
        <v>200000</v>
      </c>
      <c r="D193" s="8">
        <v>46067</v>
      </c>
      <c r="E193" s="7" t="s">
        <v>50</v>
      </c>
      <c r="F193" s="7" t="str">
        <f t="shared" si="0"/>
        <v>febrero 2026</v>
      </c>
      <c r="G193" s="7">
        <f t="shared" si="1"/>
        <v>-40000</v>
      </c>
      <c r="H193" s="7" t="str">
        <f t="shared" si="3"/>
        <v>Gasto</v>
      </c>
      <c r="I193" s="5">
        <v>130000</v>
      </c>
    </row>
    <row r="194" spans="1:9" ht="22.5" customHeight="1" x14ac:dyDescent="0.25">
      <c r="A194" s="7" t="s">
        <v>313</v>
      </c>
      <c r="B194" s="7"/>
      <c r="C194" s="7">
        <v>40000</v>
      </c>
      <c r="D194" s="8">
        <v>46069</v>
      </c>
      <c r="E194" s="7" t="s">
        <v>180</v>
      </c>
      <c r="F194" s="7" t="str">
        <f t="shared" si="0"/>
        <v>febrero 2026</v>
      </c>
      <c r="G194" s="7">
        <f t="shared" si="1"/>
        <v>-200000</v>
      </c>
      <c r="H194" s="7" t="str">
        <f t="shared" si="3"/>
        <v>Gasto</v>
      </c>
      <c r="I194" s="5">
        <v>110000</v>
      </c>
    </row>
    <row r="195" spans="1:9" ht="22.5" customHeight="1" x14ac:dyDescent="0.25">
      <c r="A195" s="7" t="s">
        <v>314</v>
      </c>
      <c r="B195" s="7"/>
      <c r="C195" s="7">
        <v>4000</v>
      </c>
      <c r="D195" s="8">
        <v>46069</v>
      </c>
      <c r="E195" s="7" t="s">
        <v>180</v>
      </c>
      <c r="F195" s="7" t="str">
        <f t="shared" si="0"/>
        <v>febrero 2026</v>
      </c>
      <c r="G195" s="7">
        <f t="shared" si="1"/>
        <v>-40000</v>
      </c>
      <c r="H195" s="7" t="str">
        <f t="shared" si="3"/>
        <v>Gasto</v>
      </c>
      <c r="I195" s="5">
        <v>40000</v>
      </c>
    </row>
    <row r="196" spans="1:9" ht="22.5" customHeight="1" x14ac:dyDescent="0.25">
      <c r="A196" s="7" t="s">
        <v>315</v>
      </c>
      <c r="B196" s="7"/>
      <c r="C196" s="7">
        <v>15000</v>
      </c>
      <c r="D196" s="8">
        <v>46069</v>
      </c>
      <c r="E196" s="7" t="s">
        <v>180</v>
      </c>
      <c r="F196" s="7" t="str">
        <f t="shared" si="0"/>
        <v>febrero 2026</v>
      </c>
      <c r="G196" s="7">
        <f t="shared" si="1"/>
        <v>-4000</v>
      </c>
      <c r="H196" s="7" t="str">
        <f t="shared" si="3"/>
        <v>Gasto</v>
      </c>
    </row>
    <row r="197" spans="1:9" ht="22.5" customHeight="1" x14ac:dyDescent="0.25">
      <c r="A197" s="7" t="s">
        <v>316</v>
      </c>
      <c r="B197" s="7"/>
      <c r="C197" s="7">
        <v>55000</v>
      </c>
      <c r="D197" s="8">
        <v>46070</v>
      </c>
      <c r="E197" s="7" t="s">
        <v>180</v>
      </c>
      <c r="F197" s="7" t="str">
        <f t="shared" si="0"/>
        <v>febrero 2026</v>
      </c>
      <c r="G197" s="7">
        <f t="shared" si="1"/>
        <v>-15000</v>
      </c>
      <c r="H197" s="7" t="str">
        <f t="shared" si="3"/>
        <v>Gasto</v>
      </c>
    </row>
    <row r="198" spans="1:9" ht="22.5" customHeight="1" x14ac:dyDescent="0.25">
      <c r="A198" s="7" t="s">
        <v>317</v>
      </c>
      <c r="B198" s="7"/>
      <c r="C198" s="7">
        <v>53000</v>
      </c>
      <c r="D198" s="8">
        <v>46070</v>
      </c>
      <c r="E198" s="7" t="s">
        <v>180</v>
      </c>
      <c r="F198" s="7" t="str">
        <f t="shared" si="0"/>
        <v>febrero 2026</v>
      </c>
      <c r="G198" s="7">
        <f t="shared" si="1"/>
        <v>-55000</v>
      </c>
      <c r="H198" s="7" t="str">
        <f t="shared" si="3"/>
        <v>Gasto</v>
      </c>
    </row>
    <row r="199" spans="1:9" ht="22.5" customHeight="1" x14ac:dyDescent="0.25">
      <c r="A199" s="7" t="s">
        <v>318</v>
      </c>
      <c r="B199" s="7">
        <v>4210</v>
      </c>
      <c r="C199" s="7"/>
      <c r="D199" s="8">
        <v>46072</v>
      </c>
      <c r="E199" s="7" t="s">
        <v>275</v>
      </c>
      <c r="F199" s="7" t="str">
        <f t="shared" si="0"/>
        <v>febrero 2026</v>
      </c>
      <c r="G199" s="7">
        <f t="shared" si="1"/>
        <v>-53000</v>
      </c>
      <c r="H199" s="7" t="str">
        <f t="shared" si="3"/>
        <v>Gasto</v>
      </c>
    </row>
    <row r="200" spans="1:9" ht="22.5" customHeight="1" x14ac:dyDescent="0.25">
      <c r="A200" s="7" t="s">
        <v>208</v>
      </c>
      <c r="B200" s="7"/>
      <c r="C200" s="7">
        <v>230000</v>
      </c>
      <c r="D200" s="8">
        <v>46073</v>
      </c>
      <c r="E200" s="7" t="s">
        <v>180</v>
      </c>
      <c r="F200" s="7" t="str">
        <f t="shared" si="0"/>
        <v>febrero 2026</v>
      </c>
      <c r="G200" s="7">
        <f t="shared" si="1"/>
        <v>4210</v>
      </c>
      <c r="H200" s="7" t="str">
        <f t="shared" si="3"/>
        <v>Ingreso</v>
      </c>
    </row>
    <row r="201" spans="1:9" ht="22.5" customHeight="1" x14ac:dyDescent="0.25">
      <c r="A201" s="7" t="s">
        <v>319</v>
      </c>
      <c r="B201" s="7"/>
      <c r="C201" s="7">
        <v>18000</v>
      </c>
      <c r="D201" s="8">
        <v>46075</v>
      </c>
      <c r="E201" s="7" t="s">
        <v>31</v>
      </c>
      <c r="F201" s="7" t="str">
        <f t="shared" si="0"/>
        <v>febrero 2026</v>
      </c>
      <c r="G201" s="7">
        <f t="shared" si="1"/>
        <v>-230000</v>
      </c>
      <c r="H201" s="7" t="str">
        <f t="shared" si="3"/>
        <v>Gasto</v>
      </c>
    </row>
    <row r="202" spans="1:9" ht="22.5" customHeight="1" x14ac:dyDescent="0.25">
      <c r="A202" s="7" t="s">
        <v>320</v>
      </c>
      <c r="B202" s="7"/>
      <c r="C202" s="7">
        <v>6800</v>
      </c>
      <c r="D202" s="8">
        <v>46077</v>
      </c>
      <c r="E202" s="7" t="s">
        <v>31</v>
      </c>
      <c r="F202" s="7" t="str">
        <f t="shared" si="0"/>
        <v>febrero 2026</v>
      </c>
      <c r="G202" s="7">
        <f t="shared" si="1"/>
        <v>-18000</v>
      </c>
      <c r="H202" s="7" t="str">
        <f t="shared" si="3"/>
        <v>Gasto</v>
      </c>
    </row>
    <row r="203" spans="1:9" ht="22.5" customHeight="1" x14ac:dyDescent="0.25">
      <c r="A203" s="7" t="s">
        <v>321</v>
      </c>
      <c r="B203" s="7"/>
      <c r="C203" s="7">
        <v>3500</v>
      </c>
      <c r="D203" s="8">
        <v>46078</v>
      </c>
      <c r="E203" s="7" t="s">
        <v>31</v>
      </c>
      <c r="F203" s="7" t="str">
        <f t="shared" si="0"/>
        <v>febrero 2026</v>
      </c>
      <c r="G203" s="7">
        <f t="shared" si="1"/>
        <v>-6800</v>
      </c>
      <c r="H203" s="7" t="str">
        <f t="shared" si="3"/>
        <v>Gasto</v>
      </c>
    </row>
    <row r="204" spans="1:9" ht="22.5" customHeight="1" x14ac:dyDescent="0.25">
      <c r="A204" s="7" t="s">
        <v>322</v>
      </c>
      <c r="B204" s="7"/>
      <c r="C204" s="7">
        <v>6500</v>
      </c>
      <c r="D204" s="8">
        <v>46079</v>
      </c>
      <c r="E204" s="7" t="s">
        <v>180</v>
      </c>
      <c r="F204" s="7" t="str">
        <f t="shared" si="0"/>
        <v>febrero 2026</v>
      </c>
      <c r="G204" s="7">
        <f t="shared" si="1"/>
        <v>-3500</v>
      </c>
      <c r="H204" s="7" t="str">
        <f t="shared" si="3"/>
        <v>Gasto</v>
      </c>
    </row>
    <row r="205" spans="1:9" ht="22.5" customHeight="1" x14ac:dyDescent="0.25">
      <c r="A205" s="7" t="s">
        <v>323</v>
      </c>
      <c r="B205" s="7"/>
      <c r="C205" s="7">
        <v>57000</v>
      </c>
      <c r="D205" s="8">
        <v>46080</v>
      </c>
      <c r="E205" s="7" t="s">
        <v>76</v>
      </c>
      <c r="F205" s="7" t="str">
        <f t="shared" si="0"/>
        <v>febrero 2026</v>
      </c>
      <c r="G205" s="7">
        <f t="shared" si="1"/>
        <v>-6500</v>
      </c>
      <c r="H205" s="7" t="str">
        <f t="shared" si="3"/>
        <v>Gasto</v>
      </c>
    </row>
    <row r="206" spans="1:9" ht="22.5" customHeight="1" x14ac:dyDescent="0.25">
      <c r="A206" s="7" t="s">
        <v>324</v>
      </c>
      <c r="B206" s="7">
        <v>66000</v>
      </c>
      <c r="D206" s="8">
        <v>46080</v>
      </c>
      <c r="E206" s="7" t="s">
        <v>275</v>
      </c>
      <c r="F206" s="7" t="str">
        <f t="shared" si="0"/>
        <v>febrero 2026</v>
      </c>
      <c r="G206" s="7">
        <f t="shared" si="1"/>
        <v>-57000</v>
      </c>
      <c r="H206" s="7" t="str">
        <f t="shared" si="3"/>
        <v>Gasto</v>
      </c>
    </row>
    <row r="207" spans="1:9" ht="22.5" customHeight="1" x14ac:dyDescent="0.25">
      <c r="A207" s="7" t="s">
        <v>325</v>
      </c>
      <c r="B207" s="7">
        <v>1012000</v>
      </c>
      <c r="C207" s="7"/>
      <c r="D207" s="8">
        <v>46080</v>
      </c>
      <c r="E207" s="7" t="s">
        <v>50</v>
      </c>
      <c r="F207" s="7" t="str">
        <f t="shared" si="0"/>
        <v>febrero 2026</v>
      </c>
      <c r="G207" s="7">
        <f t="shared" si="1"/>
        <v>66000</v>
      </c>
      <c r="H207" s="7" t="str">
        <f t="shared" si="3"/>
        <v>Ingreso</v>
      </c>
    </row>
    <row r="208" spans="1:9" ht="22.5" customHeight="1" x14ac:dyDescent="0.25">
      <c r="A208" s="7" t="s">
        <v>326</v>
      </c>
      <c r="B208" s="7"/>
      <c r="C208" s="7">
        <v>360000</v>
      </c>
      <c r="D208" s="8">
        <v>46080</v>
      </c>
      <c r="E208" s="7" t="s">
        <v>180</v>
      </c>
      <c r="F208" s="7" t="str">
        <f t="shared" si="0"/>
        <v>febrero 2026</v>
      </c>
      <c r="G208" s="7">
        <f t="shared" si="1"/>
        <v>1012000</v>
      </c>
      <c r="H208" s="7" t="str">
        <f t="shared" si="3"/>
        <v>Ingreso</v>
      </c>
    </row>
    <row r="209" spans="1:8" ht="22.5" customHeight="1" x14ac:dyDescent="0.25">
      <c r="A209" s="7" t="s">
        <v>327</v>
      </c>
      <c r="B209" s="7"/>
      <c r="C209" s="7">
        <v>350000</v>
      </c>
      <c r="D209" s="8">
        <v>46080</v>
      </c>
      <c r="E209" s="7" t="s">
        <v>50</v>
      </c>
      <c r="F209" s="7" t="str">
        <f t="shared" si="0"/>
        <v>febrero 2026</v>
      </c>
      <c r="G209" s="7">
        <f t="shared" si="1"/>
        <v>-360000</v>
      </c>
      <c r="H209" s="7" t="str">
        <f t="shared" si="3"/>
        <v>Gasto</v>
      </c>
    </row>
    <row r="210" spans="1:8" ht="22.5" customHeight="1" x14ac:dyDescent="0.25">
      <c r="A210" s="7" t="s">
        <v>328</v>
      </c>
      <c r="B210" s="7"/>
      <c r="C210" s="7">
        <v>50000</v>
      </c>
      <c r="D210" s="8">
        <v>46080</v>
      </c>
      <c r="E210" s="7" t="s">
        <v>50</v>
      </c>
      <c r="F210" s="7" t="str">
        <f t="shared" si="0"/>
        <v>febrero 2026</v>
      </c>
      <c r="G210" s="7">
        <f t="shared" si="1"/>
        <v>-350000</v>
      </c>
      <c r="H210" s="7" t="str">
        <f t="shared" si="3"/>
        <v>Gasto</v>
      </c>
    </row>
    <row r="211" spans="1:8" ht="22.5" customHeight="1" x14ac:dyDescent="0.25">
      <c r="A211" s="7" t="s">
        <v>329</v>
      </c>
      <c r="B211" s="7"/>
      <c r="C211" s="7">
        <v>240000</v>
      </c>
      <c r="D211" s="8">
        <v>46080</v>
      </c>
      <c r="E211" s="7" t="s">
        <v>180</v>
      </c>
      <c r="F211" s="7" t="str">
        <f t="shared" si="0"/>
        <v>febrero 2026</v>
      </c>
      <c r="G211" s="7">
        <f t="shared" si="1"/>
        <v>-50000</v>
      </c>
      <c r="H211" s="7" t="str">
        <f t="shared" si="3"/>
        <v>Gasto</v>
      </c>
    </row>
    <row r="212" spans="1:8" ht="22.5" customHeight="1" x14ac:dyDescent="0.25">
      <c r="A212" s="7" t="s">
        <v>329</v>
      </c>
      <c r="B212" s="7"/>
      <c r="C212" s="7">
        <v>12000</v>
      </c>
      <c r="D212" s="8">
        <v>46080</v>
      </c>
      <c r="E212" s="7" t="s">
        <v>180</v>
      </c>
      <c r="F212" s="7" t="str">
        <f t="shared" si="0"/>
        <v>febrero 2026</v>
      </c>
      <c r="G212" s="7">
        <f t="shared" si="1"/>
        <v>-240000</v>
      </c>
      <c r="H212" s="7" t="str">
        <f t="shared" si="3"/>
        <v>Gasto</v>
      </c>
    </row>
    <row r="213" spans="1:8" ht="22.5" customHeight="1" x14ac:dyDescent="0.25">
      <c r="A213" s="7" t="s">
        <v>330</v>
      </c>
      <c r="B213" s="7"/>
      <c r="C213" s="7">
        <v>3000</v>
      </c>
      <c r="D213" s="8">
        <v>46083</v>
      </c>
      <c r="E213" s="7" t="s">
        <v>180</v>
      </c>
      <c r="F213" s="7" t="str">
        <f t="shared" si="0"/>
        <v>marzo 2026</v>
      </c>
      <c r="G213" s="7">
        <f t="shared" si="1"/>
        <v>-12000</v>
      </c>
      <c r="H213" s="7" t="str">
        <f t="shared" si="3"/>
        <v>Gasto</v>
      </c>
    </row>
    <row r="214" spans="1:8" ht="22.5" customHeight="1" x14ac:dyDescent="0.25">
      <c r="A214" s="7" t="s">
        <v>166</v>
      </c>
      <c r="B214" s="7"/>
      <c r="C214" s="7">
        <v>13600</v>
      </c>
      <c r="D214" s="8">
        <v>46084</v>
      </c>
      <c r="E214" s="7" t="s">
        <v>180</v>
      </c>
      <c r="F214" s="7" t="str">
        <f t="shared" si="0"/>
        <v>marzo 2026</v>
      </c>
      <c r="G214" s="7">
        <f t="shared" si="1"/>
        <v>-3000</v>
      </c>
      <c r="H214" s="7" t="str">
        <f t="shared" si="3"/>
        <v>Gasto</v>
      </c>
    </row>
    <row r="215" spans="1:8" ht="22.5" customHeight="1" x14ac:dyDescent="0.25">
      <c r="A215" s="7" t="s">
        <v>331</v>
      </c>
      <c r="B215" s="7">
        <v>792</v>
      </c>
      <c r="C215" s="7"/>
      <c r="D215" s="8">
        <v>46086</v>
      </c>
      <c r="E215" s="7" t="s">
        <v>275</v>
      </c>
      <c r="F215" s="7" t="str">
        <f t="shared" si="0"/>
        <v>marzo 2026</v>
      </c>
      <c r="G215" s="7">
        <f t="shared" si="1"/>
        <v>-13600</v>
      </c>
      <c r="H215" s="7" t="str">
        <f t="shared" si="3"/>
        <v>Gasto</v>
      </c>
    </row>
    <row r="216" spans="1:8" ht="22.5" customHeight="1" x14ac:dyDescent="0.25">
      <c r="A216" s="7" t="s">
        <v>332</v>
      </c>
      <c r="B216" s="7">
        <v>600000</v>
      </c>
      <c r="C216" s="7"/>
      <c r="D216" s="8">
        <v>46089</v>
      </c>
      <c r="E216" s="7" t="s">
        <v>50</v>
      </c>
      <c r="F216" s="7" t="str">
        <f t="shared" si="0"/>
        <v>marzo 2026</v>
      </c>
      <c r="G216" s="7">
        <f t="shared" si="1"/>
        <v>792</v>
      </c>
      <c r="H216" s="7" t="str">
        <f t="shared" si="3"/>
        <v>Ingreso</v>
      </c>
    </row>
    <row r="217" spans="1:8" ht="22.5" customHeight="1" x14ac:dyDescent="0.25">
      <c r="A217" s="7" t="s">
        <v>333</v>
      </c>
      <c r="B217" s="7">
        <v>226298</v>
      </c>
      <c r="C217" s="7"/>
      <c r="D217" s="8">
        <v>46089</v>
      </c>
      <c r="E217" s="7" t="s">
        <v>72</v>
      </c>
      <c r="F217" s="7" t="str">
        <f t="shared" si="0"/>
        <v>marzo 2026</v>
      </c>
      <c r="G217" s="7">
        <f t="shared" si="1"/>
        <v>600000</v>
      </c>
      <c r="H217" s="7" t="str">
        <f t="shared" si="3"/>
        <v>Ingreso</v>
      </c>
    </row>
    <row r="218" spans="1:8" ht="22.5" customHeight="1" x14ac:dyDescent="0.25">
      <c r="A218" s="7" t="s">
        <v>334</v>
      </c>
      <c r="B218" s="7"/>
      <c r="C218" s="7">
        <v>613155</v>
      </c>
      <c r="D218" s="8">
        <v>46089</v>
      </c>
      <c r="E218" s="7" t="s">
        <v>84</v>
      </c>
      <c r="F218" s="7" t="str">
        <f t="shared" si="0"/>
        <v>marzo 2026</v>
      </c>
      <c r="G218" s="7">
        <f t="shared" si="1"/>
        <v>226298</v>
      </c>
      <c r="H218" s="7" t="str">
        <f t="shared" si="3"/>
        <v>Ingreso</v>
      </c>
    </row>
    <row r="219" spans="1:8" ht="22.5" customHeight="1" x14ac:dyDescent="0.25">
      <c r="A219" s="7" t="s">
        <v>335</v>
      </c>
      <c r="B219" s="7"/>
      <c r="C219" s="7">
        <v>12000</v>
      </c>
      <c r="D219" s="8">
        <v>46089</v>
      </c>
      <c r="E219" s="7" t="s">
        <v>31</v>
      </c>
      <c r="F219" s="7" t="str">
        <f t="shared" si="0"/>
        <v>marzo 2026</v>
      </c>
      <c r="G219" s="7">
        <f t="shared" si="1"/>
        <v>-613155</v>
      </c>
      <c r="H219" s="7" t="str">
        <f t="shared" si="3"/>
        <v>Gasto</v>
      </c>
    </row>
    <row r="220" spans="1:8" ht="22.5" customHeight="1" x14ac:dyDescent="0.25">
      <c r="A220" s="7" t="s">
        <v>336</v>
      </c>
      <c r="B220" s="7"/>
      <c r="C220" s="7">
        <v>55000</v>
      </c>
      <c r="D220" s="8">
        <v>46089</v>
      </c>
      <c r="E220" s="7" t="s">
        <v>180</v>
      </c>
      <c r="F220" s="7" t="str">
        <f t="shared" si="0"/>
        <v>marzo 2026</v>
      </c>
      <c r="G220" s="7">
        <f t="shared" si="1"/>
        <v>-12000</v>
      </c>
      <c r="H220" s="7" t="str">
        <f t="shared" si="3"/>
        <v>Gasto</v>
      </c>
    </row>
    <row r="221" spans="1:8" ht="22.5" customHeight="1" x14ac:dyDescent="0.25">
      <c r="A221" s="7" t="s">
        <v>337</v>
      </c>
      <c r="B221" s="7"/>
      <c r="C221" s="7">
        <v>59000</v>
      </c>
      <c r="D221" s="8">
        <v>46090</v>
      </c>
      <c r="E221" s="7" t="s">
        <v>76</v>
      </c>
      <c r="F221" s="7" t="str">
        <f t="shared" si="0"/>
        <v>marzo 2026</v>
      </c>
      <c r="G221" s="7">
        <f t="shared" si="1"/>
        <v>-55000</v>
      </c>
      <c r="H221" s="7" t="str">
        <f t="shared" si="3"/>
        <v>Gasto</v>
      </c>
    </row>
    <row r="222" spans="1:8" ht="22.5" customHeight="1" x14ac:dyDescent="0.25">
      <c r="A222" s="7" t="s">
        <v>338</v>
      </c>
      <c r="B222" s="7">
        <v>172410</v>
      </c>
      <c r="D222" s="8">
        <v>46090</v>
      </c>
      <c r="E222" s="7" t="s">
        <v>120</v>
      </c>
      <c r="F222" s="7" t="str">
        <f t="shared" si="0"/>
        <v>marzo 2026</v>
      </c>
      <c r="G222" s="7">
        <f t="shared" si="1"/>
        <v>-59000</v>
      </c>
      <c r="H222" s="7" t="str">
        <f t="shared" si="3"/>
        <v>Gasto</v>
      </c>
    </row>
    <row r="223" spans="1:8" ht="22.5" customHeight="1" x14ac:dyDescent="0.25">
      <c r="A223" s="7" t="s">
        <v>338</v>
      </c>
      <c r="B223" s="7">
        <v>41841</v>
      </c>
      <c r="C223" s="7"/>
      <c r="D223" s="8">
        <v>46090</v>
      </c>
      <c r="E223" s="7" t="s">
        <v>120</v>
      </c>
      <c r="F223" s="7" t="str">
        <f t="shared" si="0"/>
        <v>marzo 2026</v>
      </c>
      <c r="G223" s="7">
        <f t="shared" si="1"/>
        <v>172410</v>
      </c>
      <c r="H223" s="7" t="str">
        <f t="shared" si="3"/>
        <v>Ingreso</v>
      </c>
    </row>
    <row r="224" spans="1:8" ht="22.5" customHeight="1" x14ac:dyDescent="0.25">
      <c r="A224" s="7" t="s">
        <v>339</v>
      </c>
      <c r="B224" s="7"/>
      <c r="C224" s="7">
        <v>20000</v>
      </c>
      <c r="D224" s="8">
        <v>46090</v>
      </c>
      <c r="E224" s="7" t="s">
        <v>58</v>
      </c>
      <c r="F224" s="7" t="str">
        <f t="shared" si="0"/>
        <v>marzo 2026</v>
      </c>
      <c r="G224" s="7">
        <f t="shared" si="1"/>
        <v>41841</v>
      </c>
      <c r="H224" s="7" t="str">
        <f t="shared" si="3"/>
        <v>Ingreso</v>
      </c>
    </row>
    <row r="225" spans="1:8" ht="22.5" customHeight="1" x14ac:dyDescent="0.25">
      <c r="A225" s="7" t="s">
        <v>340</v>
      </c>
      <c r="B225" s="7"/>
      <c r="C225" s="7">
        <v>32132</v>
      </c>
      <c r="D225" s="8">
        <v>46090</v>
      </c>
      <c r="E225" s="7" t="s">
        <v>58</v>
      </c>
      <c r="F225" s="7" t="str">
        <f t="shared" si="0"/>
        <v>marzo 2026</v>
      </c>
      <c r="G225" s="7">
        <f t="shared" si="1"/>
        <v>-20000</v>
      </c>
      <c r="H225" s="7" t="str">
        <f t="shared" si="3"/>
        <v>Gasto</v>
      </c>
    </row>
    <row r="226" spans="1:8" ht="22.5" customHeight="1" x14ac:dyDescent="0.25">
      <c r="A226" s="7" t="s">
        <v>341</v>
      </c>
      <c r="B226" s="7">
        <v>2177235</v>
      </c>
      <c r="C226" s="7"/>
      <c r="D226" s="8">
        <v>46090</v>
      </c>
      <c r="E226" s="7" t="s">
        <v>0</v>
      </c>
      <c r="F226" s="7" t="str">
        <f t="shared" si="0"/>
        <v>marzo 2026</v>
      </c>
      <c r="G226" s="7">
        <f t="shared" si="1"/>
        <v>-32132</v>
      </c>
      <c r="H226" s="7" t="str">
        <f t="shared" si="3"/>
        <v>Gasto</v>
      </c>
    </row>
    <row r="227" spans="1:8" ht="22.5" customHeight="1" x14ac:dyDescent="0.25">
      <c r="A227" s="7" t="s">
        <v>342</v>
      </c>
      <c r="B227" s="7"/>
      <c r="C227" s="7">
        <v>145000</v>
      </c>
      <c r="D227" s="8">
        <v>46091</v>
      </c>
      <c r="E227" s="7" t="s">
        <v>50</v>
      </c>
      <c r="F227" s="7" t="str">
        <f t="shared" si="0"/>
        <v>marzo 2026</v>
      </c>
      <c r="G227" s="7">
        <f t="shared" si="1"/>
        <v>2177235</v>
      </c>
      <c r="H227" s="7" t="str">
        <f t="shared" si="3"/>
        <v>Ingreso</v>
      </c>
    </row>
    <row r="228" spans="1:8" ht="22.5" customHeight="1" x14ac:dyDescent="0.25">
      <c r="A228" s="7" t="s">
        <v>343</v>
      </c>
      <c r="C228" s="7">
        <v>126000</v>
      </c>
      <c r="D228" s="8">
        <v>46091</v>
      </c>
      <c r="E228" s="7" t="s">
        <v>50</v>
      </c>
      <c r="F228" s="7" t="str">
        <f t="shared" si="0"/>
        <v>marzo 2026</v>
      </c>
      <c r="G228" s="7">
        <f t="shared" si="1"/>
        <v>-145000</v>
      </c>
      <c r="H228" s="7" t="str">
        <f t="shared" si="3"/>
        <v>Gasto</v>
      </c>
    </row>
    <row r="229" spans="1:8" ht="22.5" customHeight="1" x14ac:dyDescent="0.25">
      <c r="A229" s="7" t="s">
        <v>344</v>
      </c>
      <c r="B229" s="7">
        <v>55000</v>
      </c>
      <c r="C229" s="7"/>
      <c r="D229" s="8">
        <v>46091</v>
      </c>
      <c r="E229" s="7" t="s">
        <v>72</v>
      </c>
      <c r="F229" s="7" t="str">
        <f t="shared" si="0"/>
        <v>marzo 2026</v>
      </c>
      <c r="G229" s="7">
        <f t="shared" si="1"/>
        <v>-126000</v>
      </c>
      <c r="H229" s="7" t="str">
        <f t="shared" si="3"/>
        <v>Gasto</v>
      </c>
    </row>
    <row r="230" spans="1:8" ht="22.5" customHeight="1" x14ac:dyDescent="0.25">
      <c r="A230" s="7" t="s">
        <v>345</v>
      </c>
      <c r="B230" s="7"/>
      <c r="C230" s="7">
        <v>3000</v>
      </c>
      <c r="D230" s="8">
        <v>46095</v>
      </c>
      <c r="E230" s="7" t="s">
        <v>31</v>
      </c>
      <c r="F230" s="7" t="str">
        <f t="shared" si="0"/>
        <v>marzo 2026</v>
      </c>
      <c r="G230" s="7">
        <f t="shared" si="1"/>
        <v>55000</v>
      </c>
      <c r="H230" s="7" t="str">
        <f t="shared" si="3"/>
        <v>Ingreso</v>
      </c>
    </row>
    <row r="231" spans="1:8" ht="22.5" customHeight="1" x14ac:dyDescent="0.25">
      <c r="A231" s="7" t="s">
        <v>346</v>
      </c>
      <c r="B231" s="7">
        <v>8000</v>
      </c>
      <c r="C231" s="7"/>
      <c r="D231" s="8">
        <v>46096</v>
      </c>
      <c r="E231" s="7" t="s">
        <v>72</v>
      </c>
      <c r="F231" s="7" t="str">
        <f t="shared" si="0"/>
        <v>marzo 2026</v>
      </c>
      <c r="G231" s="7">
        <f t="shared" si="1"/>
        <v>-3000</v>
      </c>
      <c r="H231" s="7" t="str">
        <f t="shared" si="3"/>
        <v>Gasto</v>
      </c>
    </row>
    <row r="232" spans="1:8" ht="22.5" customHeight="1" x14ac:dyDescent="0.25">
      <c r="A232" s="7" t="s">
        <v>347</v>
      </c>
      <c r="B232" s="7"/>
      <c r="C232" s="7">
        <v>10000</v>
      </c>
      <c r="D232" s="8">
        <v>46096</v>
      </c>
      <c r="E232" s="7" t="s">
        <v>31</v>
      </c>
      <c r="F232" s="7" t="str">
        <f t="shared" si="0"/>
        <v>marzo 2026</v>
      </c>
      <c r="G232" s="7">
        <f t="shared" si="1"/>
        <v>8000</v>
      </c>
      <c r="H232" s="7" t="str">
        <f t="shared" si="3"/>
        <v>Ingreso</v>
      </c>
    </row>
    <row r="233" spans="1:8" ht="22.5" customHeight="1" x14ac:dyDescent="0.25">
      <c r="A233" s="7" t="s">
        <v>348</v>
      </c>
      <c r="B233" s="7">
        <v>20000</v>
      </c>
      <c r="C233" s="7"/>
      <c r="D233" s="8">
        <v>46097</v>
      </c>
      <c r="E233" s="7" t="s">
        <v>72</v>
      </c>
      <c r="F233" s="7" t="str">
        <f t="shared" si="0"/>
        <v>marzo 2026</v>
      </c>
      <c r="G233" s="7">
        <f t="shared" si="1"/>
        <v>-10000</v>
      </c>
      <c r="H233" s="7" t="str">
        <f t="shared" si="3"/>
        <v>Gasto</v>
      </c>
    </row>
    <row r="234" spans="1:8" ht="22.5" customHeight="1" x14ac:dyDescent="0.25">
      <c r="A234" s="7" t="s">
        <v>348</v>
      </c>
      <c r="B234" s="7">
        <v>7654</v>
      </c>
      <c r="C234" s="7"/>
      <c r="D234" s="8">
        <v>46097</v>
      </c>
      <c r="E234" s="7" t="s">
        <v>72</v>
      </c>
      <c r="F234" s="7" t="str">
        <f t="shared" si="0"/>
        <v>marzo 2026</v>
      </c>
      <c r="G234" s="7">
        <f t="shared" si="1"/>
        <v>20000</v>
      </c>
      <c r="H234" s="7" t="str">
        <f t="shared" si="3"/>
        <v>Ingreso</v>
      </c>
    </row>
    <row r="235" spans="1:8" ht="22.5" customHeight="1" x14ac:dyDescent="0.25">
      <c r="A235" s="7" t="s">
        <v>349</v>
      </c>
      <c r="B235" s="7">
        <v>700000</v>
      </c>
      <c r="D235" s="8">
        <v>46097</v>
      </c>
      <c r="E235" s="7" t="s">
        <v>50</v>
      </c>
      <c r="F235" s="7" t="str">
        <f t="shared" si="0"/>
        <v>marzo 2026</v>
      </c>
      <c r="G235" s="7">
        <f t="shared" si="1"/>
        <v>7654</v>
      </c>
      <c r="H235" s="7" t="str">
        <f t="shared" si="3"/>
        <v>Ingreso</v>
      </c>
    </row>
    <row r="236" spans="1:8" ht="22.5" customHeight="1" x14ac:dyDescent="0.25">
      <c r="A236" s="7" t="s">
        <v>350</v>
      </c>
      <c r="B236" s="7"/>
      <c r="C236" s="7">
        <v>244600</v>
      </c>
      <c r="D236" s="8">
        <v>46098</v>
      </c>
      <c r="E236" s="7" t="s">
        <v>58</v>
      </c>
      <c r="F236" s="7" t="str">
        <f t="shared" si="0"/>
        <v>marzo 2026</v>
      </c>
      <c r="G236" s="7">
        <f t="shared" si="1"/>
        <v>700000</v>
      </c>
      <c r="H236" s="7" t="str">
        <f t="shared" si="3"/>
        <v>Ingreso</v>
      </c>
    </row>
    <row r="237" spans="1:8" ht="22.5" customHeight="1" x14ac:dyDescent="0.25">
      <c r="A237" s="7" t="s">
        <v>351</v>
      </c>
      <c r="B237" s="7"/>
      <c r="C237" s="7">
        <v>65000</v>
      </c>
      <c r="D237" s="8">
        <v>46098</v>
      </c>
      <c r="E237" s="7" t="s">
        <v>145</v>
      </c>
      <c r="F237" s="7" t="str">
        <f t="shared" si="0"/>
        <v>marzo 2026</v>
      </c>
      <c r="G237" s="7">
        <f t="shared" si="1"/>
        <v>-244600</v>
      </c>
      <c r="H237" s="7" t="str">
        <f t="shared" si="3"/>
        <v>Gasto</v>
      </c>
    </row>
    <row r="238" spans="1:8" ht="22.5" customHeight="1" x14ac:dyDescent="0.25">
      <c r="A238" s="7" t="s">
        <v>352</v>
      </c>
      <c r="B238" s="7">
        <v>65000</v>
      </c>
      <c r="D238" s="8">
        <v>46098</v>
      </c>
      <c r="E238" s="7" t="s">
        <v>72</v>
      </c>
      <c r="F238" s="7" t="str">
        <f t="shared" si="0"/>
        <v>marzo 2026</v>
      </c>
      <c r="G238" s="7">
        <f t="shared" si="1"/>
        <v>-65000</v>
      </c>
      <c r="H238" s="7" t="str">
        <f t="shared" si="3"/>
        <v>Gasto</v>
      </c>
    </row>
    <row r="239" spans="1:8" ht="22.5" customHeight="1" x14ac:dyDescent="0.25">
      <c r="A239" s="7" t="s">
        <v>353</v>
      </c>
      <c r="B239" s="7"/>
      <c r="C239" s="7">
        <v>290000</v>
      </c>
      <c r="D239" s="8">
        <v>46099</v>
      </c>
      <c r="E239" s="7" t="s">
        <v>355</v>
      </c>
      <c r="F239" s="7" t="str">
        <f t="shared" si="0"/>
        <v>marzo 2026</v>
      </c>
      <c r="G239" s="7">
        <f t="shared" si="1"/>
        <v>65000</v>
      </c>
      <c r="H239" s="7" t="str">
        <f t="shared" si="3"/>
        <v>Ingreso</v>
      </c>
    </row>
    <row r="240" spans="1:8" ht="22.5" customHeight="1" x14ac:dyDescent="0.25">
      <c r="A240" s="7" t="s">
        <v>356</v>
      </c>
      <c r="B240" s="7">
        <v>10000</v>
      </c>
      <c r="C240" s="7"/>
      <c r="D240" s="8">
        <v>46100</v>
      </c>
      <c r="E240" s="7" t="s">
        <v>72</v>
      </c>
      <c r="F240" s="7" t="str">
        <f t="shared" si="0"/>
        <v>marzo 2026</v>
      </c>
      <c r="G240" s="7">
        <f t="shared" si="1"/>
        <v>-290000</v>
      </c>
      <c r="H240" s="7" t="str">
        <f t="shared" si="3"/>
        <v>Gasto</v>
      </c>
    </row>
    <row r="241" spans="1:8" ht="22.5" customHeight="1" x14ac:dyDescent="0.25">
      <c r="A241" s="7" t="s">
        <v>357</v>
      </c>
      <c r="B241" s="7"/>
      <c r="C241" s="7">
        <v>6000</v>
      </c>
      <c r="D241" s="8">
        <v>46100</v>
      </c>
      <c r="E241" s="7" t="s">
        <v>76</v>
      </c>
      <c r="F241" s="7" t="str">
        <f t="shared" si="0"/>
        <v>marzo 2026</v>
      </c>
      <c r="G241" s="7">
        <f t="shared" si="1"/>
        <v>10000</v>
      </c>
      <c r="H241" s="7" t="str">
        <f t="shared" si="3"/>
        <v>Ingreso</v>
      </c>
    </row>
    <row r="242" spans="1:8" ht="22.5" customHeight="1" x14ac:dyDescent="0.25">
      <c r="A242" s="7" t="s">
        <v>353</v>
      </c>
      <c r="B242" s="7"/>
      <c r="C242" s="7">
        <v>442900</v>
      </c>
      <c r="D242" s="8">
        <v>46101</v>
      </c>
      <c r="E242" s="7" t="s">
        <v>355</v>
      </c>
      <c r="F242" s="7" t="str">
        <f t="shared" si="0"/>
        <v>marzo 2026</v>
      </c>
      <c r="G242" s="7">
        <f t="shared" si="1"/>
        <v>-6000</v>
      </c>
      <c r="H242" s="7" t="str">
        <f t="shared" si="3"/>
        <v>Gasto</v>
      </c>
    </row>
    <row r="243" spans="1:8" ht="22.5" customHeight="1" x14ac:dyDescent="0.25">
      <c r="A243" s="7" t="s">
        <v>358</v>
      </c>
      <c r="B243" s="7">
        <v>600000</v>
      </c>
      <c r="D243" s="8">
        <v>46103</v>
      </c>
      <c r="E243" s="7" t="s">
        <v>50</v>
      </c>
      <c r="F243" s="7" t="str">
        <f t="shared" si="0"/>
        <v>marzo 2026</v>
      </c>
      <c r="G243" s="7">
        <f t="shared" si="1"/>
        <v>-442900</v>
      </c>
      <c r="H243" s="7" t="str">
        <f t="shared" si="3"/>
        <v>Gasto</v>
      </c>
    </row>
    <row r="244" spans="1:8" ht="22.5" customHeight="1" x14ac:dyDescent="0.25">
      <c r="A244" s="7" t="s">
        <v>359</v>
      </c>
      <c r="B244" s="7"/>
      <c r="C244" s="7">
        <v>600000</v>
      </c>
      <c r="D244" s="8">
        <v>46103</v>
      </c>
      <c r="E244" s="7" t="s">
        <v>360</v>
      </c>
      <c r="F244" s="7" t="str">
        <f t="shared" si="0"/>
        <v>marzo 2026</v>
      </c>
      <c r="G244" s="7">
        <f t="shared" si="1"/>
        <v>600000</v>
      </c>
      <c r="H244" s="7" t="str">
        <f t="shared" si="3"/>
        <v>Ingreso</v>
      </c>
    </row>
    <row r="245" spans="1:8" ht="22.5" customHeight="1" x14ac:dyDescent="0.25">
      <c r="A245" s="7" t="s">
        <v>361</v>
      </c>
      <c r="B245" s="7">
        <v>250000</v>
      </c>
      <c r="D245" s="8">
        <v>46103</v>
      </c>
      <c r="E245" s="7" t="s">
        <v>50</v>
      </c>
      <c r="F245" s="7" t="str">
        <f t="shared" si="0"/>
        <v>marzo 2026</v>
      </c>
      <c r="G245" s="7">
        <f t="shared" si="1"/>
        <v>-600000</v>
      </c>
      <c r="H245" s="7" t="str">
        <f t="shared" si="3"/>
        <v>Gasto</v>
      </c>
    </row>
    <row r="246" spans="1:8" ht="22.5" customHeight="1" x14ac:dyDescent="0.25">
      <c r="A246" s="7" t="s">
        <v>140</v>
      </c>
      <c r="B246" s="7"/>
      <c r="C246" s="7">
        <v>23000</v>
      </c>
      <c r="D246" s="8">
        <v>46103</v>
      </c>
      <c r="E246" s="7" t="s">
        <v>187</v>
      </c>
      <c r="F246" s="7" t="str">
        <f t="shared" si="0"/>
        <v>marzo 2026</v>
      </c>
      <c r="G246" s="7">
        <f t="shared" si="1"/>
        <v>250000</v>
      </c>
      <c r="H246" s="7" t="str">
        <f t="shared" si="3"/>
        <v>Ingreso</v>
      </c>
    </row>
    <row r="247" spans="1:8" ht="22.5" customHeight="1" x14ac:dyDescent="0.25">
      <c r="A247" s="7" t="s">
        <v>252</v>
      </c>
      <c r="B247" s="7"/>
      <c r="C247" s="7">
        <v>9200</v>
      </c>
      <c r="D247" s="8">
        <v>46102</v>
      </c>
      <c r="E247" s="7" t="s">
        <v>180</v>
      </c>
      <c r="F247" s="7" t="str">
        <f t="shared" si="0"/>
        <v>marzo 2026</v>
      </c>
      <c r="G247" s="7">
        <f t="shared" si="1"/>
        <v>-23000</v>
      </c>
      <c r="H247" s="7" t="str">
        <f t="shared" si="3"/>
        <v>Gasto</v>
      </c>
    </row>
    <row r="248" spans="1:8" ht="22.5" customHeight="1" x14ac:dyDescent="0.25">
      <c r="A248" s="7" t="s">
        <v>362</v>
      </c>
      <c r="B248" s="7"/>
      <c r="C248" s="7">
        <v>3000</v>
      </c>
      <c r="D248" s="8">
        <v>46103</v>
      </c>
      <c r="E248" s="7" t="s">
        <v>180</v>
      </c>
      <c r="F248" s="7" t="str">
        <f t="shared" si="0"/>
        <v>marzo 2026</v>
      </c>
      <c r="G248" s="7">
        <f t="shared" si="1"/>
        <v>-9200</v>
      </c>
      <c r="H248" s="7" t="str">
        <f t="shared" si="3"/>
        <v>Gasto</v>
      </c>
    </row>
    <row r="249" spans="1:8" ht="22.5" customHeight="1" x14ac:dyDescent="0.25">
      <c r="A249" s="7" t="s">
        <v>276</v>
      </c>
      <c r="B249" s="7"/>
      <c r="C249" s="7">
        <v>35000</v>
      </c>
      <c r="D249" s="8">
        <v>46105</v>
      </c>
      <c r="E249" s="7" t="s">
        <v>180</v>
      </c>
      <c r="F249" s="7" t="str">
        <f t="shared" si="0"/>
        <v>marzo 2026</v>
      </c>
      <c r="G249" s="7">
        <f t="shared" si="1"/>
        <v>-3000</v>
      </c>
      <c r="H249" s="7" t="str">
        <f t="shared" si="3"/>
        <v>Gasto</v>
      </c>
    </row>
    <row r="250" spans="1:8" ht="22.5" customHeight="1" x14ac:dyDescent="0.25">
      <c r="A250" s="7" t="s">
        <v>363</v>
      </c>
      <c r="B250" s="7">
        <v>20000</v>
      </c>
      <c r="D250" s="8">
        <v>46107</v>
      </c>
      <c r="E250" s="7" t="s">
        <v>72</v>
      </c>
      <c r="F250" s="7" t="str">
        <f t="shared" si="0"/>
        <v>marzo 2026</v>
      </c>
      <c r="G250" s="7">
        <f t="shared" si="1"/>
        <v>-35000</v>
      </c>
      <c r="H250" s="7" t="str">
        <f t="shared" si="3"/>
        <v>Gasto</v>
      </c>
    </row>
    <row r="251" spans="1:8" ht="22.5" customHeight="1" x14ac:dyDescent="0.25">
      <c r="A251" s="7" t="s">
        <v>364</v>
      </c>
      <c r="B251" s="7">
        <v>500000</v>
      </c>
      <c r="C251" s="7"/>
      <c r="D251" s="8">
        <v>46107</v>
      </c>
      <c r="E251" s="7" t="s">
        <v>50</v>
      </c>
      <c r="F251" s="7" t="str">
        <f t="shared" si="0"/>
        <v>marzo 2026</v>
      </c>
      <c r="G251" s="7">
        <f t="shared" si="1"/>
        <v>20000</v>
      </c>
      <c r="H251" s="7" t="str">
        <f t="shared" si="3"/>
        <v>Ingreso</v>
      </c>
    </row>
    <row r="252" spans="1:8" ht="22.5" customHeight="1" x14ac:dyDescent="0.25">
      <c r="A252" s="7" t="s">
        <v>365</v>
      </c>
      <c r="B252" s="7">
        <v>207001</v>
      </c>
      <c r="C252" s="7"/>
      <c r="D252" s="8">
        <v>46107</v>
      </c>
      <c r="E252" s="7" t="s">
        <v>50</v>
      </c>
      <c r="F252" s="7" t="str">
        <f t="shared" si="0"/>
        <v>marzo 2026</v>
      </c>
      <c r="G252" s="7">
        <f t="shared" si="1"/>
        <v>500000</v>
      </c>
      <c r="H252" s="7" t="str">
        <f t="shared" si="3"/>
        <v>Ingreso</v>
      </c>
    </row>
    <row r="253" spans="1:8" ht="22.5" customHeight="1" x14ac:dyDescent="0.25">
      <c r="A253" s="7" t="s">
        <v>353</v>
      </c>
      <c r="B253" s="7"/>
      <c r="C253" s="7">
        <v>890000</v>
      </c>
      <c r="D253" s="8">
        <v>46109</v>
      </c>
      <c r="E253" s="7" t="s">
        <v>355</v>
      </c>
      <c r="F253" s="7" t="str">
        <f t="shared" si="0"/>
        <v>marzo 2026</v>
      </c>
      <c r="G253" s="7">
        <f t="shared" si="1"/>
        <v>207001</v>
      </c>
      <c r="H253" s="7" t="str">
        <f t="shared" si="3"/>
        <v>Ingreso</v>
      </c>
    </row>
    <row r="254" spans="1:8" ht="22.5" customHeight="1" x14ac:dyDescent="0.25">
      <c r="A254" s="7" t="s">
        <v>366</v>
      </c>
      <c r="B254" s="7"/>
      <c r="C254" s="7">
        <v>8000</v>
      </c>
      <c r="D254" s="8">
        <v>46111</v>
      </c>
      <c r="E254" s="7" t="s">
        <v>180</v>
      </c>
      <c r="F254" s="7" t="str">
        <f t="shared" si="0"/>
        <v>marzo 2026</v>
      </c>
      <c r="G254" s="7">
        <f t="shared" si="1"/>
        <v>-890000</v>
      </c>
      <c r="H254" s="7" t="str">
        <f t="shared" si="3"/>
        <v>Gasto</v>
      </c>
    </row>
    <row r="255" spans="1:8" ht="22.5" customHeight="1" x14ac:dyDescent="0.25">
      <c r="A255" s="7" t="s">
        <v>367</v>
      </c>
      <c r="B255" s="7">
        <v>23000</v>
      </c>
      <c r="C255" s="7"/>
      <c r="D255" s="8">
        <v>46113</v>
      </c>
      <c r="E255" s="7" t="s">
        <v>72</v>
      </c>
      <c r="F255" s="7" t="str">
        <f t="shared" si="0"/>
        <v>abril 2026</v>
      </c>
      <c r="G255" s="7">
        <f t="shared" si="1"/>
        <v>-8000</v>
      </c>
      <c r="H255" s="7" t="str">
        <f t="shared" si="3"/>
        <v>Gasto</v>
      </c>
    </row>
    <row r="256" spans="1:8" ht="22.5" customHeight="1" x14ac:dyDescent="0.25">
      <c r="A256" s="7" t="s">
        <v>368</v>
      </c>
      <c r="B256" s="7"/>
      <c r="C256" s="7">
        <v>41000</v>
      </c>
      <c r="D256" s="8">
        <v>46113</v>
      </c>
      <c r="E256" s="7" t="s">
        <v>76</v>
      </c>
      <c r="F256" s="7" t="str">
        <f t="shared" si="0"/>
        <v>abril 2026</v>
      </c>
      <c r="G256" s="7">
        <f t="shared" si="1"/>
        <v>23000</v>
      </c>
      <c r="H256" s="7" t="str">
        <f t="shared" si="3"/>
        <v>Ingreso</v>
      </c>
    </row>
    <row r="257" spans="1:8" ht="22.5" customHeight="1" x14ac:dyDescent="0.25">
      <c r="A257" s="7" t="s">
        <v>369</v>
      </c>
      <c r="B257" s="7">
        <v>200000</v>
      </c>
      <c r="C257" s="7"/>
      <c r="D257" s="8">
        <v>46114</v>
      </c>
      <c r="E257" s="7" t="s">
        <v>50</v>
      </c>
      <c r="F257" s="7" t="str">
        <f t="shared" si="0"/>
        <v>abril 2026</v>
      </c>
      <c r="G257" s="7">
        <f t="shared" si="1"/>
        <v>-41000</v>
      </c>
      <c r="H257" s="7" t="str">
        <f t="shared" si="3"/>
        <v>Gasto</v>
      </c>
    </row>
    <row r="258" spans="1:8" ht="22.5" customHeight="1" x14ac:dyDescent="0.25">
      <c r="A258" s="7" t="s">
        <v>370</v>
      </c>
      <c r="B258" s="7">
        <v>273500</v>
      </c>
      <c r="C258" s="7"/>
      <c r="D258" s="8">
        <v>46114</v>
      </c>
      <c r="E258" s="7" t="s">
        <v>50</v>
      </c>
      <c r="F258" s="7" t="str">
        <f t="shared" ref="F258:F282" si="4">TEXT(D258,"mmmm yyyy")</f>
        <v>abril 2026</v>
      </c>
      <c r="G258" s="7">
        <f t="shared" ref="G258:G281" si="5">IF(B257&lt;&gt;"", B257, IF(C257&lt;&gt;"", -C257, ""))</f>
        <v>200000</v>
      </c>
      <c r="H258" s="7" t="str">
        <f t="shared" si="3"/>
        <v>Ingreso</v>
      </c>
    </row>
    <row r="259" spans="1:8" ht="22.5" customHeight="1" x14ac:dyDescent="0.25">
      <c r="A259" s="7" t="s">
        <v>371</v>
      </c>
      <c r="B259" s="7"/>
      <c r="C259" s="7">
        <v>21000</v>
      </c>
      <c r="D259" s="8">
        <v>46115</v>
      </c>
      <c r="E259" s="7" t="s">
        <v>31</v>
      </c>
      <c r="F259" s="7" t="str">
        <f t="shared" si="4"/>
        <v>abril 2026</v>
      </c>
      <c r="G259" s="7">
        <f t="shared" si="5"/>
        <v>273500</v>
      </c>
      <c r="H259" s="7" t="str">
        <f t="shared" ref="H259:H282" si="6">IF(G259="", "", IF(G259&gt;0, "Ingreso", "Gasto"))</f>
        <v>Ingreso</v>
      </c>
    </row>
    <row r="260" spans="1:8" ht="22.5" customHeight="1" x14ac:dyDescent="0.25">
      <c r="A260" s="7" t="s">
        <v>372</v>
      </c>
      <c r="B260" s="7"/>
      <c r="C260" s="7">
        <v>34000</v>
      </c>
      <c r="D260" s="8">
        <v>46115</v>
      </c>
      <c r="E260" s="7" t="s">
        <v>31</v>
      </c>
      <c r="F260" s="7" t="str">
        <f t="shared" si="4"/>
        <v>abril 2026</v>
      </c>
      <c r="G260" s="7">
        <f t="shared" si="5"/>
        <v>-21000</v>
      </c>
      <c r="H260" s="7" t="str">
        <f t="shared" si="6"/>
        <v>Gasto</v>
      </c>
    </row>
    <row r="261" spans="1:8" ht="22.5" customHeight="1" x14ac:dyDescent="0.25">
      <c r="A261" s="7" t="s">
        <v>166</v>
      </c>
      <c r="B261" s="7"/>
      <c r="C261" s="7">
        <v>13900</v>
      </c>
      <c r="D261" s="8">
        <v>46116</v>
      </c>
      <c r="E261" s="7" t="s">
        <v>58</v>
      </c>
      <c r="F261" s="7" t="str">
        <f t="shared" si="4"/>
        <v>abril 2026</v>
      </c>
      <c r="G261" s="7">
        <f t="shared" si="5"/>
        <v>-34000</v>
      </c>
      <c r="H261" s="7" t="str">
        <f t="shared" si="6"/>
        <v>Gasto</v>
      </c>
    </row>
    <row r="262" spans="1:8" ht="22.5" customHeight="1" x14ac:dyDescent="0.25">
      <c r="A262" s="7" t="s">
        <v>373</v>
      </c>
      <c r="B262" s="7"/>
      <c r="C262" s="7">
        <v>10000</v>
      </c>
      <c r="D262" s="8">
        <v>46116</v>
      </c>
      <c r="E262" s="7" t="s">
        <v>31</v>
      </c>
      <c r="F262" s="7" t="str">
        <f t="shared" si="4"/>
        <v>abril 2026</v>
      </c>
      <c r="G262" s="7">
        <f t="shared" si="5"/>
        <v>-13900</v>
      </c>
      <c r="H262" s="7" t="str">
        <f t="shared" si="6"/>
        <v>Gasto</v>
      </c>
    </row>
    <row r="263" spans="1:8" ht="22.5" customHeight="1" x14ac:dyDescent="0.25">
      <c r="A263" s="7" t="s">
        <v>374</v>
      </c>
      <c r="B263" s="7"/>
      <c r="C263" s="7">
        <v>20000</v>
      </c>
      <c r="D263" s="8">
        <v>46116</v>
      </c>
      <c r="E263" s="7" t="s">
        <v>31</v>
      </c>
      <c r="F263" s="7" t="str">
        <f t="shared" si="4"/>
        <v>abril 2026</v>
      </c>
      <c r="G263" s="7">
        <f t="shared" si="5"/>
        <v>-10000</v>
      </c>
      <c r="H263" s="7" t="str">
        <f t="shared" si="6"/>
        <v>Gasto</v>
      </c>
    </row>
    <row r="264" spans="1:8" ht="22.5" customHeight="1" x14ac:dyDescent="0.25">
      <c r="A264" s="7" t="s">
        <v>375</v>
      </c>
      <c r="B264" s="7"/>
      <c r="C264" s="7">
        <v>6000</v>
      </c>
      <c r="D264" s="8">
        <v>46116</v>
      </c>
      <c r="E264" s="7" t="s">
        <v>31</v>
      </c>
      <c r="F264" s="7" t="str">
        <f t="shared" si="4"/>
        <v>abril 2026</v>
      </c>
      <c r="G264" s="7">
        <f t="shared" si="5"/>
        <v>-20000</v>
      </c>
      <c r="H264" s="7" t="str">
        <f t="shared" si="6"/>
        <v>Gasto</v>
      </c>
    </row>
    <row r="265" spans="1:8" ht="22.5" customHeight="1" x14ac:dyDescent="0.25">
      <c r="A265" s="7" t="s">
        <v>376</v>
      </c>
      <c r="B265" s="7"/>
      <c r="C265" s="7">
        <v>8000</v>
      </c>
      <c r="D265" s="8">
        <v>46116</v>
      </c>
      <c r="E265" s="7" t="s">
        <v>31</v>
      </c>
      <c r="F265" s="7" t="str">
        <f t="shared" si="4"/>
        <v>abril 2026</v>
      </c>
      <c r="G265" s="7">
        <f t="shared" si="5"/>
        <v>-6000</v>
      </c>
      <c r="H265" s="7" t="str">
        <f t="shared" si="6"/>
        <v>Gasto</v>
      </c>
    </row>
    <row r="266" spans="1:8" ht="22.5" customHeight="1" x14ac:dyDescent="0.25">
      <c r="A266" s="7" t="s">
        <v>377</v>
      </c>
      <c r="B266" s="7"/>
      <c r="C266" s="7">
        <v>15400</v>
      </c>
      <c r="D266" s="8">
        <v>46116</v>
      </c>
      <c r="E266" s="7" t="s">
        <v>31</v>
      </c>
      <c r="F266" s="7" t="str">
        <f t="shared" si="4"/>
        <v>abril 2026</v>
      </c>
      <c r="G266" s="7">
        <f t="shared" si="5"/>
        <v>-8000</v>
      </c>
      <c r="H266" s="7" t="str">
        <f t="shared" si="6"/>
        <v>Gasto</v>
      </c>
    </row>
    <row r="267" spans="1:8" ht="22.5" customHeight="1" x14ac:dyDescent="0.25">
      <c r="A267" s="7" t="s">
        <v>378</v>
      </c>
      <c r="B267" s="7"/>
      <c r="C267" s="7">
        <v>100000</v>
      </c>
      <c r="D267" s="8">
        <v>46117</v>
      </c>
      <c r="E267" s="7" t="s">
        <v>50</v>
      </c>
      <c r="F267" s="7" t="str">
        <f t="shared" si="4"/>
        <v>abril 2026</v>
      </c>
      <c r="G267" s="7">
        <f t="shared" si="5"/>
        <v>-15400</v>
      </c>
      <c r="H267" s="7" t="str">
        <f t="shared" si="6"/>
        <v>Gasto</v>
      </c>
    </row>
    <row r="268" spans="1:8" ht="22.5" customHeight="1" x14ac:dyDescent="0.25">
      <c r="A268" s="7" t="s">
        <v>379</v>
      </c>
      <c r="B268" s="7"/>
      <c r="C268" s="7">
        <v>100000</v>
      </c>
      <c r="D268" s="8">
        <v>46119</v>
      </c>
      <c r="E268" s="7" t="s">
        <v>50</v>
      </c>
      <c r="F268" s="7" t="str">
        <f t="shared" si="4"/>
        <v>abril 2026</v>
      </c>
      <c r="G268" s="7">
        <f t="shared" si="5"/>
        <v>-100000</v>
      </c>
      <c r="H268" s="7" t="str">
        <f t="shared" si="6"/>
        <v>Gasto</v>
      </c>
    </row>
    <row r="269" spans="1:8" ht="22.5" customHeight="1" x14ac:dyDescent="0.25">
      <c r="A269" s="7" t="s">
        <v>484</v>
      </c>
      <c r="B269" s="7">
        <v>55000</v>
      </c>
      <c r="C269" s="7"/>
      <c r="D269" s="8">
        <v>46119</v>
      </c>
      <c r="E269" s="7" t="s">
        <v>72</v>
      </c>
      <c r="F269" s="7" t="str">
        <f t="shared" si="4"/>
        <v>abril 2026</v>
      </c>
      <c r="G269" s="7">
        <f t="shared" si="5"/>
        <v>-100000</v>
      </c>
      <c r="H269" s="7" t="str">
        <f t="shared" si="6"/>
        <v>Gasto</v>
      </c>
    </row>
    <row r="270" spans="1:8" ht="22.5" customHeight="1" x14ac:dyDescent="0.25">
      <c r="A270" s="7" t="s">
        <v>381</v>
      </c>
      <c r="B270" s="7"/>
      <c r="C270" s="7">
        <v>173000</v>
      </c>
      <c r="D270" s="8">
        <v>46120</v>
      </c>
      <c r="E270" s="7" t="s">
        <v>113</v>
      </c>
      <c r="F270" s="7" t="str">
        <f t="shared" si="4"/>
        <v>abril 2026</v>
      </c>
      <c r="G270" s="7">
        <f t="shared" si="5"/>
        <v>55000</v>
      </c>
      <c r="H270" s="7" t="str">
        <f t="shared" si="6"/>
        <v>Ingreso</v>
      </c>
    </row>
    <row r="271" spans="1:8" ht="22.5" customHeight="1" x14ac:dyDescent="0.25">
      <c r="A271" s="7" t="s">
        <v>382</v>
      </c>
      <c r="B271" s="7">
        <v>262000</v>
      </c>
      <c r="C271" s="7"/>
      <c r="D271" s="8">
        <v>46120</v>
      </c>
      <c r="E271" s="7" t="s">
        <v>120</v>
      </c>
      <c r="F271" s="7" t="str">
        <f t="shared" si="4"/>
        <v>abril 2026</v>
      </c>
      <c r="G271" s="7">
        <f t="shared" si="5"/>
        <v>-173000</v>
      </c>
      <c r="H271" s="7" t="str">
        <f t="shared" si="6"/>
        <v>Gasto</v>
      </c>
    </row>
    <row r="272" spans="1:8" ht="22.5" customHeight="1" x14ac:dyDescent="0.25">
      <c r="A272" s="7" t="s">
        <v>383</v>
      </c>
      <c r="B272" s="7"/>
      <c r="C272" s="7">
        <v>600000</v>
      </c>
      <c r="D272" s="8">
        <v>46120</v>
      </c>
      <c r="E272" s="7" t="s">
        <v>50</v>
      </c>
      <c r="F272" s="7" t="str">
        <f t="shared" si="4"/>
        <v>abril 2026</v>
      </c>
      <c r="G272" s="7">
        <f t="shared" si="5"/>
        <v>262000</v>
      </c>
      <c r="H272" s="7" t="str">
        <f t="shared" si="6"/>
        <v>Ingreso</v>
      </c>
    </row>
    <row r="273" spans="1:8" ht="22.5" customHeight="1" x14ac:dyDescent="0.25">
      <c r="A273" s="7" t="s">
        <v>384</v>
      </c>
      <c r="B273" s="7"/>
      <c r="C273" s="7">
        <v>436000</v>
      </c>
      <c r="D273" s="8">
        <v>46120</v>
      </c>
      <c r="E273" s="7" t="s">
        <v>84</v>
      </c>
      <c r="F273" s="7" t="str">
        <f t="shared" si="4"/>
        <v>abril 2026</v>
      </c>
      <c r="G273" s="7">
        <f t="shared" si="5"/>
        <v>-600000</v>
      </c>
      <c r="H273" s="7" t="str">
        <f t="shared" si="6"/>
        <v>Gasto</v>
      </c>
    </row>
    <row r="274" spans="1:8" ht="22.5" customHeight="1" x14ac:dyDescent="0.25">
      <c r="A274" s="7" t="s">
        <v>353</v>
      </c>
      <c r="B274" s="7"/>
      <c r="C274" s="7">
        <v>1300000</v>
      </c>
      <c r="D274" s="8">
        <v>46120</v>
      </c>
      <c r="E274" s="7" t="s">
        <v>355</v>
      </c>
      <c r="F274" s="7" t="str">
        <f t="shared" si="4"/>
        <v>abril 2026</v>
      </c>
      <c r="G274" s="7">
        <f t="shared" si="5"/>
        <v>-436000</v>
      </c>
      <c r="H274" s="7" t="str">
        <f t="shared" si="6"/>
        <v>Gasto</v>
      </c>
    </row>
    <row r="275" spans="1:8" ht="22.5" customHeight="1" x14ac:dyDescent="0.25">
      <c r="A275" s="7" t="s">
        <v>385</v>
      </c>
      <c r="B275" s="7"/>
      <c r="C275" s="7">
        <v>30000</v>
      </c>
      <c r="D275" s="8">
        <v>46120</v>
      </c>
      <c r="E275" s="7" t="s">
        <v>58</v>
      </c>
      <c r="F275" s="7" t="str">
        <f t="shared" si="4"/>
        <v>abril 2026</v>
      </c>
      <c r="G275" s="7">
        <f t="shared" si="5"/>
        <v>-1300000</v>
      </c>
      <c r="H275" s="7" t="str">
        <f t="shared" si="6"/>
        <v>Gasto</v>
      </c>
    </row>
    <row r="276" spans="1:8" ht="22.5" customHeight="1" x14ac:dyDescent="0.25">
      <c r="A276" s="7" t="s">
        <v>386</v>
      </c>
      <c r="B276" s="7"/>
      <c r="C276" s="7">
        <v>21000</v>
      </c>
      <c r="D276" s="8">
        <v>46120</v>
      </c>
      <c r="E276" s="7" t="s">
        <v>58</v>
      </c>
      <c r="F276" s="7" t="str">
        <f t="shared" si="4"/>
        <v>abril 2026</v>
      </c>
      <c r="G276" s="7">
        <f t="shared" si="5"/>
        <v>-30000</v>
      </c>
      <c r="H276" s="7" t="str">
        <f t="shared" si="6"/>
        <v>Gasto</v>
      </c>
    </row>
    <row r="277" spans="1:8" ht="22.5" customHeight="1" x14ac:dyDescent="0.25">
      <c r="A277" s="7" t="s">
        <v>387</v>
      </c>
      <c r="B277" s="7"/>
      <c r="C277" s="7">
        <v>355000</v>
      </c>
      <c r="D277" s="8">
        <v>46120</v>
      </c>
      <c r="E277" s="7" t="s">
        <v>50</v>
      </c>
      <c r="F277" s="7" t="str">
        <f t="shared" si="4"/>
        <v>abril 2026</v>
      </c>
      <c r="G277" s="7">
        <f t="shared" si="5"/>
        <v>-21000</v>
      </c>
      <c r="H277" s="7" t="str">
        <f t="shared" si="6"/>
        <v>Gasto</v>
      </c>
    </row>
    <row r="278" spans="1:8" ht="22.5" customHeight="1" x14ac:dyDescent="0.25">
      <c r="A278" s="7"/>
      <c r="B278" s="7"/>
      <c r="C278" s="7"/>
      <c r="D278" s="8"/>
      <c r="E278" s="7"/>
      <c r="F278" s="7" t="str">
        <f t="shared" si="4"/>
        <v>enero 1900</v>
      </c>
      <c r="G278" s="7">
        <f t="shared" si="5"/>
        <v>-355000</v>
      </c>
      <c r="H278" s="7" t="str">
        <f t="shared" si="6"/>
        <v>Gasto</v>
      </c>
    </row>
    <row r="279" spans="1:8" ht="22.5" customHeight="1" x14ac:dyDescent="0.25">
      <c r="A279" s="7"/>
      <c r="B279" s="7"/>
      <c r="C279" s="7"/>
      <c r="D279" s="8"/>
      <c r="E279" s="7"/>
      <c r="F279" s="7" t="str">
        <f t="shared" si="4"/>
        <v>enero 1900</v>
      </c>
      <c r="G279" s="7" t="str">
        <f t="shared" si="5"/>
        <v/>
      </c>
      <c r="H279" s="7" t="str">
        <f t="shared" si="6"/>
        <v/>
      </c>
    </row>
    <row r="280" spans="1:8" ht="22.5" customHeight="1" x14ac:dyDescent="0.25">
      <c r="A280" s="7"/>
      <c r="B280" s="7"/>
      <c r="C280" s="7"/>
      <c r="D280" s="8"/>
      <c r="E280" s="7"/>
      <c r="F280" s="7" t="str">
        <f t="shared" si="4"/>
        <v>enero 1900</v>
      </c>
      <c r="G280" s="7" t="str">
        <f t="shared" si="5"/>
        <v/>
      </c>
      <c r="H280" s="7" t="str">
        <f t="shared" si="6"/>
        <v/>
      </c>
    </row>
    <row r="281" spans="1:8" ht="22.5" customHeight="1" x14ac:dyDescent="0.25">
      <c r="A281" s="7"/>
      <c r="B281" s="7"/>
      <c r="C281" s="7"/>
      <c r="D281" s="8"/>
      <c r="E281" s="7"/>
      <c r="F281" s="7" t="str">
        <f t="shared" si="4"/>
        <v>enero 1900</v>
      </c>
      <c r="G281" s="7" t="str">
        <f t="shared" si="5"/>
        <v/>
      </c>
      <c r="H281" s="7" t="str">
        <f t="shared" si="6"/>
        <v/>
      </c>
    </row>
    <row r="282" spans="1:8" ht="22.5" customHeight="1" x14ac:dyDescent="0.25">
      <c r="A282" s="7"/>
      <c r="B282" s="7"/>
      <c r="C282" s="7"/>
      <c r="D282" s="8"/>
      <c r="E282" s="7"/>
      <c r="F282" s="7" t="str">
        <f t="shared" si="4"/>
        <v>enero 1900</v>
      </c>
      <c r="G282" s="7" t="str">
        <f>IF(B278&lt;&gt;"", B278, IF(C278&lt;&gt;"", -C278, ""))</f>
        <v/>
      </c>
      <c r="H282" s="7" t="str">
        <f t="shared" si="6"/>
        <v/>
      </c>
    </row>
    <row r="283" spans="1:8" ht="22.5" customHeight="1" x14ac:dyDescent="0.25">
      <c r="A283" s="7" t="s">
        <v>499</v>
      </c>
      <c r="B283" s="7">
        <f>SUM(Cuenta_Naranja_X[Entrada])</f>
        <v>29388728</v>
      </c>
      <c r="C283" s="7">
        <f>-1*SUM(Cuenta_Naranja_X[Gastos])</f>
        <v>-20840833.75</v>
      </c>
      <c r="D283" s="7">
        <f>SUM(Cuenta_Naranja_X[[#Totals],[Entrada]:[Gastos]])</f>
        <v>8547894.25</v>
      </c>
      <c r="E283" s="7" t="str">
        <f ca="1">IFERROR(__xludf.DUMMYFUNCTION("REGEXEXTRACT(A283,""[A-Za-z]+"")"),"Totales")</f>
        <v>Totales</v>
      </c>
    </row>
  </sheetData>
  <dataValidations count="1">
    <dataValidation type="custom" allowBlank="1" showDropDown="1" sqref="D3:D282" xr:uid="{00000000-0002-0000-0500-000000000000}">
      <formula1>OR(NOT(ISERROR(DATEVALUE(D3))), AND(ISNUMBER(D3), LEFT(CELL("format", D3))="D"))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Contable</vt:lpstr>
      <vt:lpstr>Proyeccion</vt:lpstr>
      <vt:lpstr>San Isidro</vt:lpstr>
      <vt:lpstr>Liquidacion Sueldos</vt:lpstr>
      <vt:lpstr>Produccion</vt:lpstr>
      <vt:lpstr>Finanzas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Guantay</dc:creator>
  <cp:lastModifiedBy>marimarguan29@gmail.com</cp:lastModifiedBy>
  <dcterms:created xsi:type="dcterms:W3CDTF">2026-08-24T18:46:04Z</dcterms:created>
  <dcterms:modified xsi:type="dcterms:W3CDTF">2026-08-24T18:50:45Z</dcterms:modified>
</cp:coreProperties>
</file>